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ÁL" sheetId="1" r:id="rId5"/>
    <sheet state="visible" name="3. LCL D" sheetId="2" r:id="rId6"/>
    <sheet state="visible" name="2.FAC" sheetId="3" r:id="rId7"/>
    <sheet state="visible" name="a.1 LIQ PD" sheetId="4" r:id="rId8"/>
    <sheet state="visible" name="a.LIQ" sheetId="5" r:id="rId9"/>
    <sheet state="visible" name="b. LIQ.F" sheetId="6" r:id="rId10"/>
    <sheet state="visible" name="c. LIQ LCL D" sheetId="7" r:id="rId11"/>
    <sheet state="visible" name="DETALLE IMPORTACION" sheetId="8" r:id="rId12"/>
    <sheet state="visible" name="4.1 ARTICULOS" sheetId="9" r:id="rId13"/>
  </sheets>
  <definedNames>
    <definedName name="FLETEYIWU1">'1.CÁL'!$H$14</definedName>
    <definedName localSheetId="6" name="TOTAL1">'c. LIQ LCL D'!$E$37</definedName>
    <definedName name="CAJAS">'1.CÁL'!$K$3:$K$5</definedName>
    <definedName name="TOTALUSD">'1.CÁL'!$O$3:$O$5</definedName>
    <definedName name="ab.IMPR3">#REF!</definedName>
    <definedName localSheetId="6" name="TOTAL2">#REF!</definedName>
    <definedName name="CBMTOTAL">'1.CÁL'!$Q$3:$Q$5</definedName>
    <definedName name="CANDADOS">'1.CÁL'!$S$11:$S$13</definedName>
    <definedName name="TOTAL2">a.LIQ!$F$65</definedName>
    <definedName name="ab.IMPR1">#REF!</definedName>
    <definedName name="ISD">'1.CÁL'!$G$11:$G$13</definedName>
    <definedName name="TOTALIMP">#REF!</definedName>
    <definedName name="SUBTOTALLF">#REF!</definedName>
    <definedName name="TOTAL3">#REF!</definedName>
    <definedName localSheetId="6" name="aa.IMPRIMIRLIQUIDACION">'c. LIQ LCL D'!$B$3:$F$58</definedName>
    <definedName name="PVOLUMETRICO">'1.CÁL'!$S$3:$S$5</definedName>
    <definedName name="RUBROSL">a.LIQ!$E$16:$F$27</definedName>
    <definedName localSheetId="3" name="SUBTOTALL">'a.1 LIQ PD'!$F$63:$F$65</definedName>
    <definedName name="CAJAS1">'1.CÁL'!$K$6</definedName>
    <definedName name="PESO">'1.CÁL'!$R$3:$R$5</definedName>
    <definedName name="VALORUSD">'1.CÁL'!$C$11:$C$13</definedName>
    <definedName name="ac.IMPRbFACTOR">'b. LIQ.F'!$B$2:$F$43</definedName>
    <definedName name="CBMTOTAL1">'1.CÁL'!$Q$6</definedName>
    <definedName localSheetId="5" name="SUBTOTALLF">#REF!</definedName>
    <definedName localSheetId="3" name="TOTAL2">'a.1 LIQ PD'!$F$66</definedName>
    <definedName name="TOTALUSD1">'1.CÁL'!$O$6</definedName>
    <definedName name="FLETEYIWU">'1.CÁL'!$H$11:$H$13</definedName>
    <definedName name="MONTACARGA">'1.CÁL'!$J$11:$J$13</definedName>
    <definedName localSheetId="3" name="aa.IMPRIMIRLIQUIDACION">'a.1 LIQ PD'!$B$3:$F$66</definedName>
    <definedName name="IVA">'1.CÁL'!$P$11:$P$13</definedName>
    <definedName name="COMISIONBANC">'1.CÁL'!$I$11:$I$13</definedName>
    <definedName localSheetId="6" name="RUBROSL">'c. LIQ LCL D'!$E$19:$F$33</definedName>
    <definedName name="SLOGISTICOS">'1.CÁL'!$Q$11:$Q$13</definedName>
    <definedName name="ab.IMPR2">#REF!</definedName>
    <definedName name="ICE">'1.CÁL'!$N$11:$N$13</definedName>
    <definedName localSheetId="3" name="TOTAL1">'a.1 LIQ PD'!$E$30</definedName>
    <definedName name="GICHINA">'1.CÁL'!$D$11:$D$13</definedName>
    <definedName name="FLETEMAR">'1.CÁL'!$E$11:$E$13</definedName>
    <definedName name="TOTAL1">a.LIQ!$E$30</definedName>
    <definedName name="TCATEGORIAB">#REF!</definedName>
    <definedName localSheetId="3" name="RUBROSL">'a.1 LIQ PD'!$E$16:$F$27</definedName>
    <definedName localSheetId="6" name="SUBTOTALL">#REF!</definedName>
    <definedName name="TCATEGORIAC">#REF!</definedName>
    <definedName name="TRANSPORTEECU">'1.CÁL'!$K$11:$K$13</definedName>
    <definedName name="SUBTOTALL">a.LIQ!$F$62:$F$64</definedName>
    <definedName name="SEGURO">'1.CÁL'!$F$11:$F$13</definedName>
    <definedName name="ARANCEL">'1.CÁL'!$M$11:$M$13</definedName>
    <definedName name="aa.IMPRIMIRLIQUIDACION">a.LIQ!$B$3:$F$65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Si no hay imagen, poner https://drive.google.com/uc?export=view&amp;id=1vcrZn_OLPxflHITc9KAVYfonNcP_7xys</t>
      </text>
    </comment>
    <comment authorId="0" ref="U2">
      <text>
        <t xml:space="preserve">Insertar una nota en la celda correspondiente en caso de que sea partida sugerida por el cliente para tenerlo en cuenta</t>
      </text>
    </comment>
    <comment authorId="0" ref="AB2">
      <text>
        <t xml:space="preserve">Insertar una nota en la celda correspondiente en caso de que sea partida sugerida por el cliente para tenerlo en cuenta</t>
      </text>
    </comment>
    <comment authorId="0" ref="E10">
      <text>
        <t xml:space="preserve">Revisar la tabla para ajustar el costo según el CBM</t>
      </text>
    </comment>
    <comment authorId="0" ref="N10">
      <text>
        <t xml:space="preserve">1. 280 USD INEN NO CONTROLADO
2. INEN CONTROLADO CONSULTAR</t>
      </text>
    </comment>
    <comment authorId="0" ref="V10">
      <text>
        <t xml:space="preserve">Agregar 450RMB = 71.43 US$ si el proveedor desea hacer tax
Agregar valores extras que se necesite cobrar</t>
      </text>
    </comment>
    <comment authorId="0" ref="C17">
      <text>
        <t xml:space="preserve">escribir número de proveedores  de pago directo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Revisar la tabla para ajustar el costo según el CBM</t>
      </text>
    </comment>
    <comment authorId="0" ref="L1">
      <text>
        <t xml:space="preserve">1. 280 USD INEN NO CONTROLADO
2. INEN CONTROLADO CONSULTAR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5">
      <text>
        <t xml:space="preserve">1. 280 USD INEN NO CONTROLADO
2. INEN CONTROLADO CONSULTAR</t>
      </text>
    </comment>
    <comment authorId="0" ref="N20">
      <text>
        <t xml:space="preserve">1. 280 USD INEN NO CONTROLADO
2. INEN CONTROLADO CONSULTAR</t>
      </text>
    </comment>
    <comment authorId="0" ref="N25">
      <text>
        <t xml:space="preserve">1. 280 USD INEN NO CONTROLADO
2. INEN CONTROLADO CONSULTAR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2">
      <text>
        <t xml:space="preserve">Digitar los valores solo con dos decimales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1">
      <text>
        <t xml:space="preserve">Digitar los valores solo con dos decimales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8">
      <text>
        <t xml:space="preserve">Digitar los valores solo con dos decimales</t>
      </text>
    </comment>
    <comment authorId="0" ref="M108">
      <text>
        <t xml:space="preserve">Digitar los valores solo con dos decimales</t>
      </text>
    </comment>
    <comment authorId="0" ref="U108">
      <text>
        <t xml:space="preserve">Digitar los valores solo con dos decimales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los teléfonos celulares en China comienzan con 1 después del +86
</t>
      </text>
    </comment>
    <comment authorId="0" ref="B23">
      <text>
        <t xml:space="preserve">Escribir observaciones para el envio aprobar</t>
      </text>
    </comment>
    <comment authorId="0" ref="B34">
      <text>
        <t xml:space="preserve">los teléfonos celulares en China comienzan con 1 después del +86
</t>
      </text>
    </comment>
    <comment authorId="0" ref="B38">
      <text>
        <t xml:space="preserve">Escribir observaciones para el envio aprobar</t>
      </text>
    </comment>
    <comment authorId="0" ref="B49">
      <text>
        <t xml:space="preserve">los teléfonos celulares en China comienzan con 1 después del +86
</t>
      </text>
    </comment>
    <comment authorId="0" ref="B53">
      <text>
        <t xml:space="preserve">Escribir observaciones para el envio aprobar</t>
      </text>
    </comment>
    <comment authorId="0" ref="B64">
      <text>
        <t xml:space="preserve">los teléfonos celulares en China comienzan con 1 después del +86
</t>
      </text>
    </comment>
    <comment authorId="0" ref="B68">
      <text>
        <t xml:space="preserve">Escribir observaciones para el envio aprobar</t>
      </text>
    </comment>
    <comment authorId="0" ref="B79">
      <text>
        <t xml:space="preserve">los teléfonos celulares en China comienzan con 1 después del +86
</t>
      </text>
    </comment>
    <comment authorId="0" ref="B82">
      <text>
        <t xml:space="preserve">Escribir observaciones para el envio aprobar</t>
      </text>
    </comment>
    <comment authorId="0" ref="B93">
      <text>
        <t xml:space="preserve">los teléfonos celulares en China comienzan con 1 después del +86
</t>
      </text>
    </comment>
    <comment authorId="0" ref="B97">
      <text>
        <t xml:space="preserve">Escribir observaciones para el envio aprobar</t>
      </text>
    </comment>
    <comment authorId="0" ref="B108">
      <text>
        <t xml:space="preserve">los teléfonos celulares en China comienzan con 1 después del +86
</t>
      </text>
    </comment>
    <comment authorId="0" ref="B112">
      <text>
        <t xml:space="preserve">Escribir observaciones para el envio aprobar</t>
      </text>
    </comment>
    <comment authorId="0" ref="B123">
      <text>
        <t xml:space="preserve">los teléfonos celulares en China comienzan con 1 después del +86
</t>
      </text>
    </comment>
    <comment authorId="0" ref="B127">
      <text>
        <t xml:space="preserve">Escribir observaciones para el envio aprobar</t>
      </text>
    </comment>
    <comment authorId="0" ref="B138">
      <text>
        <t xml:space="preserve">los teléfonos celulares en China comienzan con 1 después del +86
</t>
      </text>
    </comment>
    <comment authorId="0" ref="B142">
      <text>
        <t xml:space="preserve">Escribir observaciones para el envio aprobar</t>
      </text>
    </comment>
    <comment authorId="0" ref="B153">
      <text>
        <t xml:space="preserve">los teléfonos celulares en China comienzan con 1 después del +86
</t>
      </text>
    </comment>
    <comment authorId="0" ref="B157">
      <text>
        <t xml:space="preserve">Escribir observaciones para el envio aprobar</t>
      </text>
    </comment>
    <comment authorId="0" ref="B168">
      <text>
        <t xml:space="preserve">los teléfonos celulares en China comienzan con 1 después del +86
</t>
      </text>
    </comment>
    <comment authorId="0" ref="B172">
      <text>
        <t xml:space="preserve">Escribir observaciones para el envio aprobar</t>
      </text>
    </comment>
    <comment authorId="0" ref="B183">
      <text>
        <t xml:space="preserve">los teléfonos celulares en China comienzan con 1 después del +86
</t>
      </text>
    </comment>
    <comment authorId="0" ref="B187">
      <text>
        <t xml:space="preserve">Escribir observaciones para el envio aprobar</t>
      </text>
    </comment>
    <comment authorId="0" ref="B198">
      <text>
        <t xml:space="preserve">los teléfonos celulares en China comienzan con 1 después del +86
</t>
      </text>
    </comment>
    <comment authorId="0" ref="B202">
      <text>
        <t xml:space="preserve">Escribir observaciones para el envio aprobar</t>
      </text>
    </comment>
    <comment authorId="0" ref="B213">
      <text>
        <t xml:space="preserve">los teléfonos celulares en China comienzan con 1 después del +86
</t>
      </text>
    </comment>
    <comment authorId="0" ref="B217">
      <text>
        <t xml:space="preserve">Escribir observaciones para el envio aprobar</t>
      </text>
    </comment>
    <comment authorId="0" ref="B228">
      <text>
        <t xml:space="preserve">los teléfonos celulares en China comienzan con 1 después del +86
</t>
      </text>
    </comment>
    <comment authorId="0" ref="B232">
      <text>
        <t xml:space="preserve">Escribir observaciones para el envio aprobar</t>
      </text>
    </comment>
    <comment authorId="0" ref="B243">
      <text>
        <t xml:space="preserve">los teléfonos celulares en China comienzan con 1 después del +86
</t>
      </text>
    </comment>
    <comment authorId="0" ref="B246">
      <text>
        <t xml:space="preserve">Escribir observaciones para el envio aprobar</t>
      </text>
    </comment>
    <comment authorId="0" ref="B257">
      <text>
        <t xml:space="preserve">los teléfonos celulares en China comienzan con 1 después del +86
</t>
      </text>
    </comment>
    <comment authorId="0" ref="B260">
      <text>
        <t xml:space="preserve">Escribir observaciones para el envio aprobar</t>
      </text>
    </comment>
    <comment authorId="0" ref="B272">
      <text>
        <t xml:space="preserve">los teléfonos celulares en China comienzan con 1 después del +86
</t>
      </text>
    </comment>
    <comment authorId="0" ref="B275">
      <text>
        <t xml:space="preserve">Escribir observaciones para el envio aprobar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Copiar desde salesforce, el nombre va a ser XX_APELLIDO.I.I_MES</t>
      </text>
    </comment>
    <comment authorId="0" ref="N1">
      <text>
        <t xml:space="preserve">Depende si es unitario normal o unitario factor</t>
      </text>
    </comment>
  </commentList>
</comments>
</file>

<file path=xl/sharedStrings.xml><?xml version="1.0" encoding="utf-8"?>
<sst xmlns="http://schemas.openxmlformats.org/spreadsheetml/2006/main" count="1447" uniqueCount="331">
  <si>
    <t>LINK COTIZADOR</t>
  </si>
  <si>
    <t>PROVEEDORES</t>
  </si>
  <si>
    <t>PROVEEDORES 2</t>
  </si>
  <si>
    <t>MODELO</t>
  </si>
  <si>
    <t>FOTO</t>
  </si>
  <si>
    <t>LINK DE LA IMAGEN</t>
  </si>
  <si>
    <t>DESCRIPCION</t>
  </si>
  <si>
    <t>NOMBRE COMERCIAL</t>
  </si>
  <si>
    <t>UNIDAD DE MEDIDA</t>
  </si>
  <si>
    <t>CANTIDAD x CAJA</t>
  </si>
  <si>
    <t>CAJAS</t>
  </si>
  <si>
    <t>TOTAL UNIDADES</t>
  </si>
  <si>
    <t>PRECIO UNITARIO YUANES</t>
  </si>
  <si>
    <t xml:space="preserve">PRECIO UNITARIO
USD </t>
  </si>
  <si>
    <t>TOTAL USD</t>
  </si>
  <si>
    <t>CBM</t>
  </si>
  <si>
    <t>CBM TOTAL</t>
  </si>
  <si>
    <t>PESO (KG)</t>
  </si>
  <si>
    <t>W/M</t>
  </si>
  <si>
    <t>FLETE YIWU</t>
  </si>
  <si>
    <t>PARTIDA</t>
  </si>
  <si>
    <t>TNAN</t>
  </si>
  <si>
    <t>ARANCEL (%)</t>
  </si>
  <si>
    <t>ARANCEL TLC  (%)</t>
  </si>
  <si>
    <t>PERMISOS</t>
  </si>
  <si>
    <t>INCREMENTO ICE</t>
  </si>
  <si>
    <t>ICE ADVALOREM</t>
  </si>
  <si>
    <t>PARTIDA 2</t>
  </si>
  <si>
    <t>TNAN 2</t>
  </si>
  <si>
    <t>PERMISOS 2</t>
  </si>
  <si>
    <t>PA</t>
  </si>
  <si>
    <t>https://drive.google.com/uc?export=view&amp;id=1vcrZn_OLPxflHITc9KAVYfonNcP_7xys</t>
  </si>
  <si>
    <t>PZA</t>
  </si>
  <si>
    <t>0000</t>
  </si>
  <si>
    <t>NO</t>
  </si>
  <si>
    <t>PB</t>
  </si>
  <si>
    <t>VALOR USD</t>
  </si>
  <si>
    <t>GASTOS INTERNOS EN CHINA</t>
  </si>
  <si>
    <t>FLETE MARITIMO</t>
  </si>
  <si>
    <t>SEGURO</t>
  </si>
  <si>
    <t>SALIDA DIVISAS ISD</t>
  </si>
  <si>
    <t>FLETE A YIWU</t>
  </si>
  <si>
    <t>COMISIÓN BANCARIA</t>
  </si>
  <si>
    <t>MONTACARGA</t>
  </si>
  <si>
    <t>TRANSPORTE ECUADOR</t>
  </si>
  <si>
    <t>ARANCEL</t>
  </si>
  <si>
    <t>FODINFA</t>
  </si>
  <si>
    <t>ICE/INEN</t>
  </si>
  <si>
    <t>IMPUESTOS ESPECIFICOS</t>
  </si>
  <si>
    <t>IVA</t>
  </si>
  <si>
    <t>SERVICIOS LOGISTICOS</t>
  </si>
  <si>
    <t>GASTOS DE ADUANA</t>
  </si>
  <si>
    <t>CUSTODIA ARMADA Y CANDADO</t>
  </si>
  <si>
    <t>SEGURO DE TRANSPORTE INTERNO OPCIONAL</t>
  </si>
  <si>
    <t>TLC</t>
  </si>
  <si>
    <t>TAX (OPCIONAL)/OTROS VALORES</t>
  </si>
  <si>
    <t>TOTAL</t>
  </si>
  <si>
    <t>PRECIO UNITARIO</t>
  </si>
  <si>
    <t>TOTAL FACTOR</t>
  </si>
  <si>
    <t>PRECIO UNITARIO FACTOR</t>
  </si>
  <si>
    <t>INCREMENTO TABLA</t>
  </si>
  <si>
    <t>INCREMENTO FAC</t>
  </si>
  <si>
    <t>PROV TOTALES</t>
  </si>
  <si>
    <t># DE PROVEEDORES PD</t>
  </si>
  <si>
    <t>PAGO DIRECTO</t>
  </si>
  <si>
    <t>TRANSPORTE</t>
  </si>
  <si>
    <t>SIN CUIDAD DE ENTREGA</t>
  </si>
  <si>
    <t xml:space="preserve">TLC </t>
  </si>
  <si>
    <t>LCL</t>
  </si>
  <si>
    <t>FLETE LCL</t>
  </si>
  <si>
    <t>EXW a FOB</t>
  </si>
  <si>
    <t>IMO</t>
  </si>
  <si>
    <t>VERIFICACION</t>
  </si>
  <si>
    <t>CANDADO</t>
  </si>
  <si>
    <t>NUMERO DE LEAD</t>
  </si>
  <si>
    <t>Notificaciones</t>
  </si>
  <si>
    <t>LIQUIDACIÓN CORRECTA</t>
  </si>
  <si>
    <t>VALOR</t>
  </si>
  <si>
    <t>%</t>
  </si>
  <si>
    <t>TABLA</t>
  </si>
  <si>
    <t>FAC 1</t>
  </si>
  <si>
    <t>FAC 2</t>
  </si>
  <si>
    <t>FAC 3</t>
  </si>
  <si>
    <t>COSTOS BASADOS EN CBM</t>
  </si>
  <si>
    <t>COSTOS BASADOS EN MONTO EN CHINA</t>
  </si>
  <si>
    <t>FLETE MARÍTIMO</t>
  </si>
  <si>
    <t>CANDADO SATELITAL</t>
  </si>
  <si>
    <t>USD CHINA</t>
  </si>
  <si>
    <t>MIN USD CHINA</t>
  </si>
  <si>
    <t>% SERVICIOS LOGÍSTICOS</t>
  </si>
  <si>
    <t>% GASTOS DE ADUANA</t>
  </si>
  <si>
    <t>0-3</t>
  </si>
  <si>
    <t>0-5000</t>
  </si>
  <si>
    <t>3.1-12</t>
  </si>
  <si>
    <t>5000-10000</t>
  </si>
  <si>
    <t>12.1-21</t>
  </si>
  <si>
    <t>10000-15000</t>
  </si>
  <si>
    <t>21.1-30</t>
  </si>
  <si>
    <t>15000-20000</t>
  </si>
  <si>
    <t>20000-30000</t>
  </si>
  <si>
    <t>VALORES EXTRAS PAGOS DIRECTOS</t>
  </si>
  <si>
    <t>30000 o más</t>
  </si>
  <si>
    <t>CONSULTAR</t>
  </si>
  <si>
    <t># DE PROVEEDORES</t>
  </si>
  <si>
    <t>COORDINACION  EN BODEGA</t>
  </si>
  <si>
    <t>VALOR CALCULADO</t>
  </si>
  <si>
    <t>TODOS</t>
  </si>
  <si>
    <t>COSTO DE EXPORTACION (EXW A FOB)</t>
  </si>
  <si>
    <t>COMISIÓN BANCARIA (2 X PROVEEDOR)</t>
  </si>
  <si>
    <t>TLC (OPCIONAL)</t>
  </si>
  <si>
    <t>AD-VALOREM</t>
  </si>
  <si>
    <t>ICE</t>
  </si>
  <si>
    <t>IVA SENAE</t>
  </si>
  <si>
    <t>GASTOS LOCALES</t>
  </si>
  <si>
    <t>AGENTE DE ADUANA</t>
  </si>
  <si>
    <t>DEPOSITO TEMPORAL</t>
  </si>
  <si>
    <t>TRANSPORTE INTERNO ECUADOR</t>
  </si>
  <si>
    <t>Subtotal</t>
  </si>
  <si>
    <t>Total</t>
  </si>
  <si>
    <t>TARIFAS</t>
  </si>
  <si>
    <t>Rubro</t>
  </si>
  <si>
    <t>PVP</t>
  </si>
  <si>
    <t>PVP NCESCH</t>
  </si>
  <si>
    <t>Mínimo</t>
  </si>
  <si>
    <t>Mín NCESCH</t>
  </si>
  <si>
    <t>Base</t>
  </si>
  <si>
    <t>Flete</t>
  </si>
  <si>
    <t>S. Logístico</t>
  </si>
  <si>
    <t>S. Portuario</t>
  </si>
  <si>
    <t>Administración</t>
  </si>
  <si>
    <t>BL</t>
  </si>
  <si>
    <t>Transmisión</t>
  </si>
  <si>
    <t>Sello y Pesaje</t>
  </si>
  <si>
    <t>Cobranza</t>
  </si>
  <si>
    <t>Seguro</t>
  </si>
  <si>
    <t>Manejo Local</t>
  </si>
  <si>
    <t>C. Bancaria</t>
  </si>
  <si>
    <t>Agente</t>
  </si>
  <si>
    <t>Bodega</t>
  </si>
  <si>
    <t xml:space="preserve">Almacenaje </t>
  </si>
  <si>
    <t>Handling para aforo</t>
  </si>
  <si>
    <t>Cuadrilla para aforo (1 a 100 bultos)</t>
  </si>
  <si>
    <t>Despacho carga general</t>
  </si>
  <si>
    <t>Servicio de tarja</t>
  </si>
  <si>
    <t>USD</t>
  </si>
  <si>
    <t># CAJAS</t>
  </si>
  <si>
    <t>M3</t>
  </si>
  <si>
    <t>$</t>
  </si>
  <si>
    <t>FACTOR</t>
  </si>
  <si>
    <t>SERVICIO</t>
  </si>
  <si>
    <t>GI</t>
  </si>
  <si>
    <t>FM</t>
  </si>
  <si>
    <t>S</t>
  </si>
  <si>
    <t>ISD</t>
  </si>
  <si>
    <t>FY</t>
  </si>
  <si>
    <t>CM</t>
  </si>
  <si>
    <t>M</t>
  </si>
  <si>
    <t>TE</t>
  </si>
  <si>
    <t>A F</t>
  </si>
  <si>
    <t>I</t>
  </si>
  <si>
    <t>SL</t>
  </si>
  <si>
    <t>GA</t>
  </si>
  <si>
    <t>CS</t>
  </si>
  <si>
    <t>SALIDA DIVISAS</t>
  </si>
  <si>
    <t>COMSION BANCARIO</t>
  </si>
  <si>
    <t>MONTACARGAS</t>
  </si>
  <si>
    <t>SERVICIO LOGISTICO</t>
  </si>
  <si>
    <t>TOTAL CON SEGURO</t>
  </si>
  <si>
    <t>PRORRATEO</t>
  </si>
  <si>
    <t>FLETE INTERNO</t>
  </si>
  <si>
    <t>FLETE ECUADOR</t>
  </si>
  <si>
    <t>BASE ADUANA</t>
  </si>
  <si>
    <t>FONDINFA</t>
  </si>
  <si>
    <t>`</t>
  </si>
  <si>
    <t>PESO</t>
  </si>
  <si>
    <t>Kg</t>
  </si>
  <si>
    <t>BASE CBM</t>
  </si>
  <si>
    <t>TOPE COMPRA</t>
  </si>
  <si>
    <t>NEGOCIOS CESCH CIA.LTDA.</t>
  </si>
  <si>
    <t>Vendedor:</t>
  </si>
  <si>
    <t>Fecha:</t>
  </si>
  <si>
    <t>Datos del cliente</t>
  </si>
  <si>
    <t>Nombre:</t>
  </si>
  <si>
    <t>CI o RUC:</t>
  </si>
  <si>
    <t>Dirección:</t>
  </si>
  <si>
    <t>Ciudad de entrega:</t>
  </si>
  <si>
    <t>Número de teléfono:</t>
  </si>
  <si>
    <t>CBM:</t>
  </si>
  <si>
    <t>Email:</t>
  </si>
  <si>
    <t>Cantidad de caja:</t>
  </si>
  <si>
    <t>No. Doc Cotización:</t>
  </si>
  <si>
    <t>Peso:</t>
  </si>
  <si>
    <t>Item</t>
  </si>
  <si>
    <t xml:space="preserve">Detalle </t>
  </si>
  <si>
    <t xml:space="preserve">Total </t>
  </si>
  <si>
    <t>Valor de la Mercadería</t>
  </si>
  <si>
    <t>Gastos Internos en China</t>
  </si>
  <si>
    <t>Flete Marítimo</t>
  </si>
  <si>
    <t>Comisión Bancaria</t>
  </si>
  <si>
    <t>Transporte Ecuador (dirección acordada)</t>
  </si>
  <si>
    <t>Arancel + 0.5% FODINFA</t>
  </si>
  <si>
    <t>Impuesto Específico</t>
  </si>
  <si>
    <t>Servicios Logísticos</t>
  </si>
  <si>
    <t>Gastos de Aduana</t>
  </si>
  <si>
    <t>Custodia Armada y Candado</t>
  </si>
  <si>
    <t>Tax (Opcional)</t>
  </si>
  <si>
    <t xml:space="preserve">Certificado de origen </t>
  </si>
  <si>
    <t>PRECIO FINAL EN ECUADOR</t>
  </si>
  <si>
    <t>Salida Divisas ISD</t>
  </si>
  <si>
    <t>*En pago al contado (transferencia, depósito, efectivo), se otorga un descuento al cliente*</t>
  </si>
  <si>
    <t>Valor</t>
  </si>
  <si>
    <t>Pago al contado incluido descuento</t>
  </si>
  <si>
    <t xml:space="preserve">Pago 1  PAGO DIRECTO AL PROVEEDOR </t>
  </si>
  <si>
    <t xml:space="preserve">Pago 2 PAGO PARA CARGAR EN CHINA </t>
  </si>
  <si>
    <t>Pago 3 PAGO PARA NACIONALIZAR EN ECUADOR</t>
  </si>
  <si>
    <t>Observaciones :</t>
  </si>
  <si>
    <t>Seguro de transporte interno (opcional)</t>
  </si>
  <si>
    <t>*La liquidación presentada al cliente se basa en la información proporcionada por el proveedor; la cual podría ser actualizada en caso de existir alguna variación en precios de los productos, flete o CBM*</t>
  </si>
  <si>
    <t>*La tarifa de flete marítimo esta cotizada a la  semana actual, podrá varíar si existe cambios en las tarifas generales de flete marítimo.</t>
  </si>
  <si>
    <t>*En caso de recibir mercadería adicional (muestras, regalos, etc.) enviada por el proveedor se deberá actualizar la liquidación*</t>
  </si>
  <si>
    <t>*La liquidación tiene vigencia de 7 días*</t>
  </si>
  <si>
    <t>*La liquidación tendrá validez una vez firmado el contrato de representación internacional e intermediación*</t>
  </si>
  <si>
    <t>*El precio de la liquidación incluye IVA*</t>
  </si>
  <si>
    <t>*Es importante negociar con el proveedor el empacado del producto para su preservación durante el transporte*</t>
  </si>
  <si>
    <t>* Se entregara una factura por el valor total de este presupuesto al entregar la mercadería en Ecuador</t>
  </si>
  <si>
    <t>*Para entregas fuera de la cuidad de Quito se usará una empresa de transportes por lo que se sugiere la contratación de un seguro de carga propio de la empresa transportadora</t>
  </si>
  <si>
    <t>Rubros no incluidos</t>
  </si>
  <si>
    <t>**El costo del transporte nacional (Ecuador-envío a la dirección deseada) es necesario coordinar con el asesor**</t>
  </si>
  <si>
    <t>**En caso de ser necesario se adicionará el rubro para la contratación de montacargas en China para el adecuado manejo de carga**</t>
  </si>
  <si>
    <t xml:space="preserve">**No se cubre el rubro de descargue de la mercadería en la dirección (montacargas, personal, etc), eso debe ser gestionado por el cliente** </t>
  </si>
  <si>
    <t>LISTA DE PRODUCTOS</t>
  </si>
  <si>
    <t>CÓDIGO</t>
  </si>
  <si>
    <t>Imagen del producto</t>
  </si>
  <si>
    <t>Cantidad</t>
  </si>
  <si>
    <t>Descripción</t>
  </si>
  <si>
    <t>Precio unitario final en Ecuador incluido IVA</t>
  </si>
  <si>
    <t xml:space="preserve">Pago 1  </t>
  </si>
  <si>
    <t xml:space="preserve">Pago 2  </t>
  </si>
  <si>
    <t>Seguro de transporte interno</t>
  </si>
  <si>
    <t>Compra</t>
  </si>
  <si>
    <t>Gasto Origen</t>
  </si>
  <si>
    <t>Gasto Nacionalización</t>
  </si>
  <si>
    <t>Descuento pago al contado</t>
  </si>
  <si>
    <t>*EL IVA se calcula por el 13% ya que se considera que la mercadería llegará después del cambio del impuesto a Ecuador</t>
  </si>
  <si>
    <t>Asesor:</t>
  </si>
  <si>
    <t>ICE/IMPUESTOS ESPECIFICOS</t>
  </si>
  <si>
    <t xml:space="preserve">Seguro de transporte interno </t>
  </si>
  <si>
    <t>Fecha Validez:</t>
  </si>
  <si>
    <t>Termino:</t>
  </si>
  <si>
    <t>FOB</t>
  </si>
  <si>
    <t>MERCADERIA</t>
  </si>
  <si>
    <t>SERVICIOS DE NEGOCIOS CESCH</t>
  </si>
  <si>
    <t>IMPUESTOS</t>
  </si>
  <si>
    <t>OTRO COSTOS A TOMAR EN CUENTA</t>
  </si>
  <si>
    <t>Total con IVA</t>
  </si>
  <si>
    <t>DETALLE DE PAGOS PARA SERVICIOS EFECTUADOS POR NEGOCIOS CESCH INCLUIDO IVA</t>
  </si>
  <si>
    <t>Pago 1</t>
  </si>
  <si>
    <t>Pago 2</t>
  </si>
  <si>
    <t>OBSERVACIONES</t>
  </si>
  <si>
    <t>*La liquidación presentada al cliente se basa en la información proporcionada por el proveedor; la cual podría ser actualizada en caso de existir alguna variación en precios de los productos, flete, peso o CBM*</t>
  </si>
  <si>
    <t>*Esta propuesta tiene vigencia de 7 días*</t>
  </si>
  <si>
    <t>*Estos costos son estimaciones para que puedan ser tomado en cuenta para obtener costos totales aproximados*</t>
  </si>
  <si>
    <t>*Los costos 4.5 y 4.6 son opcionales pero recomendamos su contratacion"</t>
  </si>
  <si>
    <t xml:space="preserve">VERSION 1.1 </t>
  </si>
  <si>
    <t>DETALLE DE IMPORTACIÓN</t>
  </si>
  <si>
    <t>Asesor</t>
  </si>
  <si>
    <t>Datos cliente</t>
  </si>
  <si>
    <t xml:space="preserve">Cliente nuevo </t>
  </si>
  <si>
    <t>Nombres:</t>
  </si>
  <si>
    <t xml:space="preserve">Cliente existente </t>
  </si>
  <si>
    <t>RUC o CI:</t>
  </si>
  <si>
    <t>Link de la carpeta</t>
  </si>
  <si>
    <t>Correo:</t>
  </si>
  <si>
    <t>Número de proveedores</t>
  </si>
  <si>
    <t>Telefono:</t>
  </si>
  <si>
    <t>Dirección facturación:</t>
  </si>
  <si>
    <t>Direccion de entrega:</t>
  </si>
  <si>
    <t>Especificar dirección de entrega</t>
  </si>
  <si>
    <t># de artículos</t>
  </si>
  <si>
    <t>Divisa</t>
  </si>
  <si>
    <t>RMB</t>
  </si>
  <si>
    <t xml:space="preserve">YUAN </t>
  </si>
  <si>
    <t>Valor EXW</t>
  </si>
  <si>
    <t>Valor de envio a Yiwu</t>
  </si>
  <si>
    <t>Total factura usd</t>
  </si>
  <si>
    <t>Comision bancaria</t>
  </si>
  <si>
    <t>Enlace proforma</t>
  </si>
  <si>
    <t>Télefono del proveedor</t>
  </si>
  <si>
    <t>Tipo de proveedor</t>
  </si>
  <si>
    <t>Nuevo</t>
  </si>
  <si>
    <t>Tipo de pago</t>
  </si>
  <si>
    <t>Cotizador</t>
  </si>
  <si>
    <t>Observaciones OP:</t>
  </si>
  <si>
    <t>Nota para Nico:</t>
  </si>
  <si>
    <t>PC</t>
  </si>
  <si>
    <t>Observaciones:</t>
  </si>
  <si>
    <t>PD</t>
  </si>
  <si>
    <t>PE</t>
  </si>
  <si>
    <t>PF</t>
  </si>
  <si>
    <t>PG</t>
  </si>
  <si>
    <t>PH</t>
  </si>
  <si>
    <t>PI</t>
  </si>
  <si>
    <t>PJ</t>
  </si>
  <si>
    <t>PK</t>
  </si>
  <si>
    <t>PL</t>
  </si>
  <si>
    <t>PM</t>
  </si>
  <si>
    <t>PN</t>
  </si>
  <si>
    <t>PO</t>
  </si>
  <si>
    <t>PP</t>
  </si>
  <si>
    <t>PQ</t>
  </si>
  <si>
    <t>PR</t>
  </si>
  <si>
    <t>Oportunidad__r.Nombre</t>
  </si>
  <si>
    <t>Modelo</t>
  </si>
  <si>
    <t>Articulo</t>
  </si>
  <si>
    <t>Descripción del Producto</t>
  </si>
  <si>
    <t>Categorías</t>
  </si>
  <si>
    <t>Url del Artículo</t>
  </si>
  <si>
    <t>Link del Articulo</t>
  </si>
  <si>
    <t>Contacto_Proveedor__r.Nombre completo</t>
  </si>
  <si>
    <t>Orden_Proveedor__r.Orden Proveedor NÂº</t>
  </si>
  <si>
    <t>Partida_Arancelaria__r.PARTIDA</t>
  </si>
  <si>
    <t>Aranceles</t>
  </si>
  <si>
    <t>Unidad</t>
  </si>
  <si>
    <t>Precio de venta unitario</t>
  </si>
  <si>
    <t>CBM Vendido</t>
  </si>
  <si>
    <t>Peso Vendido (Kg)</t>
  </si>
  <si>
    <t>Moneda de Pago</t>
  </si>
  <si>
    <t>Precio de compra unitario (EXW)</t>
  </si>
  <si>
    <t>Maquinaria y Repuestos</t>
  </si>
  <si>
    <t>Bruna Zubiaga</t>
  </si>
  <si>
    <t>OP-0000005</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</si>
</sst>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00"/>
    <numFmt numFmtId="165" formatCode="_([$$-300A]\ * #,##0.00_);_([$$-300A]\ * \(#,##0.00\);_([$$-300A]\ * &quot;-&quot;??_);_(@_)"/>
    <numFmt numFmtId="166" formatCode="_(&quot;$&quot;* #,##0.00_);_(&quot;$&quot;* \(#,##0.00\);_(&quot;$&quot;* &quot;-&quot;??_);_(@_)"/>
    <numFmt numFmtId="167" formatCode="0.0000"/>
    <numFmt numFmtId="168" formatCode="&quot;$&quot;#,##0.00"/>
    <numFmt numFmtId="169" formatCode="_ &quot;$&quot;* #,##0.00_ ;_ &quot;$&quot;* \-#,##0.00_ ;_ &quot;$&quot;* &quot;-&quot;??.0_ ;_ @_ "/>
    <numFmt numFmtId="170" formatCode="_ &quot;$&quot;* #,##0.00000_ ;_ &quot;$&quot;* \-#,##0.00000_ ;_ &quot;$&quot;* &quot;-&quot;??.0000_ ;_ @_ "/>
    <numFmt numFmtId="171" formatCode="_-[$$-409]* #,##0.00_ ;_-[$$-409]* \-#,##0.00\ ;_-[$$-409]* &quot;-&quot;??_ ;_-@_ "/>
    <numFmt numFmtId="172" formatCode="&quot;¥&quot;#,##0.00_);[Red]\(&quot;¥&quot;#,##0.00\)"/>
    <numFmt numFmtId="173" formatCode="0.00_);[Red]\(0.00\)"/>
    <numFmt numFmtId="174" formatCode="dd\-mm\-yy"/>
    <numFmt numFmtId="175" formatCode="_ &quot;$&quot;* #,##0.00_ ;_ &quot;$&quot;* \-#,##0.00_ ;_ &quot;$&quot;* &quot;-&quot;??_ ;_ @_ "/>
    <numFmt numFmtId="176" formatCode="_-[$$-409]* #,##0.00_ ;_-[$$-409]* \-#,##0.00\ ;_-[$$-409]* &quot;-&quot;??.0_ ;_-@_ "/>
    <numFmt numFmtId="177" formatCode="_ &quot;$&quot;* #,##0.000_ ;_ &quot;$&quot;* \-#,##0.000_ ;_ &quot;$&quot;* &quot;-&quot;??_ ;_ @_ "/>
    <numFmt numFmtId="178" formatCode="_-&quot;$&quot;* #,##0.00_-;_-&quot;$&quot;* \-#,##0.00_-;_-&quot;$&quot;* &quot;-&quot;??_-;_-@"/>
    <numFmt numFmtId="179" formatCode="_ * #,##0.00_ ;_ * \-#,##0.00_ ;_ * &quot;-&quot;??_ ;_ @_ "/>
    <numFmt numFmtId="180" formatCode="0.0"/>
    <numFmt numFmtId="181" formatCode="0.000%"/>
    <numFmt numFmtId="182" formatCode="dd-mm-yyyy"/>
    <numFmt numFmtId="183" formatCode="#,##0.0000"/>
    <numFmt numFmtId="184" formatCode="###0.0000"/>
  </numFmts>
  <fonts count="39">
    <font>
      <sz val="11.0"/>
      <color theme="1"/>
      <name val="Calibri"/>
      <scheme val="minor"/>
    </font>
    <font>
      <sz val="11.0"/>
      <color theme="1"/>
      <name val="Calibri"/>
    </font>
    <font>
      <color theme="1"/>
      <name val="Calibri"/>
      <scheme val="minor"/>
    </font>
    <font>
      <b/>
      <sz val="10.0"/>
      <color theme="1"/>
      <name val="Calibri"/>
    </font>
    <font>
      <b/>
      <sz val="9.0"/>
      <color theme="1"/>
      <name val="Calibri"/>
    </font>
    <font>
      <sz val="11.0"/>
      <color rgb="FF000000"/>
      <name val="Calibri"/>
    </font>
    <font>
      <u/>
      <sz val="11.0"/>
      <color rgb="FF4A86E8"/>
      <name val="Calibri"/>
    </font>
    <font>
      <color theme="0"/>
      <name val="Calibri"/>
      <scheme val="minor"/>
    </font>
    <font>
      <b/>
      <sz val="11.0"/>
      <color theme="1"/>
      <name val="Calibri"/>
    </font>
    <font>
      <b/>
      <sz val="10.0"/>
      <color rgb="FF000000"/>
      <name val="Calibri"/>
    </font>
    <font>
      <sz val="9.0"/>
      <color theme="1"/>
      <name val="Calibri"/>
    </font>
    <font>
      <color theme="1"/>
      <name val="Calibri"/>
    </font>
    <font>
      <b/>
      <color theme="1"/>
      <name val="Calibri"/>
      <scheme val="minor"/>
    </font>
    <font>
      <sz val="11.0"/>
      <color rgb="FF3C4043"/>
      <name val="Inconsolata"/>
    </font>
    <font>
      <sz val="9.0"/>
      <color rgb="FF000000"/>
      <name val="&quot;Google Sans Mono&quot;"/>
    </font>
    <font>
      <b/>
      <color theme="1"/>
      <name val="Calibri"/>
    </font>
    <font/>
    <font>
      <sz val="11.0"/>
      <color rgb="FFFFFFFF"/>
      <name val="Calibri"/>
    </font>
    <font>
      <sz val="10.0"/>
      <color theme="1"/>
      <name val="Calibri"/>
      <scheme val="minor"/>
    </font>
    <font>
      <sz val="12.0"/>
      <color theme="1"/>
      <name val="Calibri"/>
    </font>
    <font>
      <b/>
      <sz val="11.0"/>
      <color theme="1"/>
      <name val="Calibri"/>
      <scheme val="minor"/>
    </font>
    <font>
      <b/>
      <sz val="14.0"/>
      <color rgb="FF000000"/>
      <name val="Calibri"/>
    </font>
    <font>
      <sz val="12.0"/>
      <color rgb="FF000000"/>
      <name val="Calibri"/>
    </font>
    <font>
      <b/>
      <sz val="11.0"/>
      <color rgb="FF000000"/>
      <name val="Calibri"/>
    </font>
    <font>
      <sz val="10.0"/>
      <color rgb="FF000000"/>
      <name val="Calibri"/>
    </font>
    <font>
      <b/>
      <sz val="10.0"/>
      <color theme="1"/>
      <name val="Calibri"/>
      <scheme val="minor"/>
    </font>
    <font>
      <b/>
      <sz val="12.0"/>
      <color rgb="FF000000"/>
      <name val="Calibri"/>
    </font>
    <font>
      <b/>
      <sz val="14.0"/>
      <color theme="1"/>
      <name val="Calibri"/>
      <scheme val="minor"/>
    </font>
    <font>
      <sz val="9.0"/>
      <color theme="1"/>
      <name val="Calibri"/>
      <scheme val="minor"/>
    </font>
    <font>
      <sz val="14.0"/>
      <color rgb="FF000000"/>
      <name val="Calibri"/>
    </font>
    <font>
      <b/>
      <sz val="9.0"/>
      <color theme="1"/>
      <name val="Calibri"/>
      <scheme val="minor"/>
    </font>
    <font>
      <b/>
      <sz val="13.0"/>
      <color theme="1"/>
      <name val="Calibri"/>
      <scheme val="minor"/>
    </font>
    <font>
      <color theme="1"/>
      <name val="Arial"/>
    </font>
    <font>
      <sz val="11.0"/>
      <color rgb="FFF7981D"/>
      <name val="Calibri"/>
      <scheme val="minor"/>
    </font>
    <font>
      <i/>
      <sz val="11.0"/>
      <color rgb="FF000000"/>
      <name val="Calibri"/>
    </font>
    <font>
      <u/>
      <color rgb="FF0000FF"/>
    </font>
    <font>
      <color rgb="FF080707"/>
      <name val="-apple-system"/>
    </font>
    <font>
      <sz val="11.0"/>
      <color rgb="FFA61D4C"/>
      <name val="Calibri"/>
      <scheme val="minor"/>
    </font>
    <font>
      <sz val="11.0"/>
      <color rgb="FF11A9CC"/>
      <name val="Calibri"/>
      <scheme val="minor"/>
    </font>
  </fonts>
  <fills count="40">
    <fill>
      <patternFill patternType="none"/>
    </fill>
    <fill>
      <patternFill patternType="lightGray"/>
    </fill>
    <fill>
      <patternFill patternType="solid">
        <fgColor rgb="FFEAD1DC"/>
        <bgColor rgb="FFEAD1DC"/>
      </patternFill>
    </fill>
    <fill>
      <patternFill patternType="solid">
        <fgColor rgb="FFC0C0C0"/>
        <bgColor rgb="FFC0C0C0"/>
      </patternFill>
    </fill>
    <fill>
      <patternFill patternType="solid">
        <fgColor rgb="FFFFF2CC"/>
        <bgColor rgb="FFFFF2CC"/>
      </patternFill>
    </fill>
    <fill>
      <patternFill patternType="solid">
        <fgColor rgb="FFFFFFFF"/>
        <bgColor rgb="FFFFFFFF"/>
      </patternFill>
    </fill>
    <fill>
      <patternFill patternType="solid">
        <fgColor rgb="FFD8D8D8"/>
        <bgColor rgb="FFD8D8D8"/>
      </patternFill>
    </fill>
    <fill>
      <patternFill patternType="solid">
        <fgColor theme="4"/>
        <bgColor theme="4"/>
      </patternFill>
    </fill>
    <fill>
      <patternFill patternType="solid">
        <fgColor rgb="FFFFD966"/>
        <bgColor rgb="FFFFD966"/>
      </patternFill>
    </fill>
    <fill>
      <patternFill patternType="solid">
        <fgColor rgb="FF93C47D"/>
        <bgColor rgb="FF93C47D"/>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C27BA0"/>
        <bgColor rgb="FFC27BA0"/>
      </patternFill>
    </fill>
    <fill>
      <patternFill patternType="solid">
        <fgColor rgb="FF8E7CC3"/>
        <bgColor rgb="FF8E7CC3"/>
      </patternFill>
    </fill>
    <fill>
      <patternFill patternType="solid">
        <fgColor rgb="FF9FC5E8"/>
        <bgColor rgb="FF9FC5E8"/>
      </patternFill>
    </fill>
    <fill>
      <patternFill patternType="solid">
        <fgColor rgb="FF3C78D8"/>
        <bgColor rgb="FF3C78D8"/>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D9D2E9"/>
        <bgColor rgb="FFD9D2E9"/>
      </patternFill>
    </fill>
    <fill>
      <patternFill patternType="solid">
        <fgColor rgb="FFF4CCCC"/>
        <bgColor rgb="FFF4CCCC"/>
      </patternFill>
    </fill>
    <fill>
      <patternFill patternType="solid">
        <fgColor rgb="FF073763"/>
        <bgColor rgb="FF073763"/>
      </patternFill>
    </fill>
    <fill>
      <patternFill patternType="solid">
        <fgColor rgb="FFD9D9D9"/>
        <bgColor rgb="FFD9D9D9"/>
      </patternFill>
    </fill>
    <fill>
      <patternFill patternType="solid">
        <fgColor theme="5"/>
        <bgColor theme="5"/>
      </patternFill>
    </fill>
    <fill>
      <patternFill patternType="solid">
        <fgColor rgb="FFC9DAF8"/>
        <bgColor rgb="FFC9DAF8"/>
      </patternFill>
    </fill>
    <fill>
      <patternFill patternType="solid">
        <fgColor rgb="FFCCCCCC"/>
        <bgColor rgb="FFCCCCCC"/>
      </patternFill>
    </fill>
    <fill>
      <patternFill patternType="solid">
        <fgColor rgb="FFFFCCCC"/>
        <bgColor rgb="FFFFCCCC"/>
      </patternFill>
    </fill>
    <fill>
      <patternFill patternType="solid">
        <fgColor rgb="FFFFE7E7"/>
        <bgColor rgb="FFFFE7E7"/>
      </patternFill>
    </fill>
    <fill>
      <patternFill patternType="solid">
        <fgColor rgb="FFFFC7CE"/>
        <bgColor rgb="FFFFC7CE"/>
      </patternFill>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6D9EEB"/>
        <bgColor rgb="FF6D9EEB"/>
      </patternFill>
    </fill>
    <fill>
      <patternFill patternType="solid">
        <fgColor rgb="FFD9EAD3"/>
        <bgColor rgb="FFD9EAD3"/>
      </patternFill>
    </fill>
    <fill>
      <patternFill patternType="solid">
        <fgColor rgb="FFA4C2F4"/>
        <bgColor rgb="FFA4C2F4"/>
      </patternFill>
    </fill>
    <fill>
      <patternFill patternType="solid">
        <fgColor rgb="FFD0E0E3"/>
        <bgColor rgb="FFD0E0E3"/>
      </patternFill>
    </fill>
    <fill>
      <patternFill patternType="solid">
        <fgColor theme="6"/>
        <bgColor theme="6"/>
      </patternFill>
    </fill>
    <fill>
      <patternFill patternType="solid">
        <fgColor rgb="FFF9CB9C"/>
        <bgColor rgb="FFF9CB9C"/>
      </patternFill>
    </fill>
    <fill>
      <patternFill patternType="solid">
        <fgColor rgb="FFFCE5CD"/>
        <bgColor rgb="FFFCE5CD"/>
      </patternFill>
    </fill>
  </fills>
  <borders count="28">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D0CECE"/>
      </left>
      <right style="thin">
        <color rgb="FFD0CECE"/>
      </right>
      <bottom style="thin">
        <color rgb="FFD0CECE"/>
      </bottom>
    </border>
    <border>
      <left style="thin">
        <color rgb="FFD0CECE"/>
      </left>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top style="thin">
        <color rgb="FF000000"/>
      </top>
      <bottom style="thin">
        <color rgb="FF000000"/>
      </bottom>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right/>
      <top style="thin">
        <color rgb="FF000000"/>
      </top>
      <bottom/>
    </border>
    <border>
      <right/>
      <top style="thin">
        <color rgb="FF000000"/>
      </top>
      <bottom style="thin">
        <color rgb="FF000000"/>
      </bottom>
    </border>
    <border>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6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2" fontId="3" numFmtId="40" xfId="0" applyAlignment="1" applyBorder="1" applyFill="1" applyFont="1" applyNumberFormat="1">
      <alignment horizontal="center" readingOrder="0" shrinkToFit="0" vertical="center" wrapText="1"/>
    </xf>
    <xf borderId="1" fillId="3" fontId="3" numFmtId="40" xfId="0" applyAlignment="1" applyBorder="1" applyFill="1" applyFont="1" applyNumberFormat="1">
      <alignment horizontal="center" readingOrder="0" shrinkToFit="0" vertical="center" wrapText="1"/>
    </xf>
    <xf borderId="1" fillId="3" fontId="3" numFmtId="40" xfId="0" applyAlignment="1" applyBorder="1" applyFont="1" applyNumberFormat="1">
      <alignment horizontal="center" shrinkToFit="0" vertical="center" wrapText="1"/>
    </xf>
    <xf borderId="2" fillId="3" fontId="3" numFmtId="40" xfId="0" applyAlignment="1" applyBorder="1" applyFont="1" applyNumberFormat="1">
      <alignment horizontal="center" readingOrder="0" shrinkToFit="0" vertical="center" wrapText="1"/>
    </xf>
    <xf borderId="1" fillId="3" fontId="3" numFmtId="40" xfId="0" applyAlignment="1" applyBorder="1" applyFont="1" applyNumberFormat="1">
      <alignment horizontal="center" readingOrder="0" shrinkToFit="0" vertical="center" wrapText="1"/>
    </xf>
    <xf borderId="3" fillId="3" fontId="4" numFmtId="40" xfId="0" applyAlignment="1" applyBorder="1" applyFont="1" applyNumberFormat="1">
      <alignment horizontal="center" shrinkToFit="0" vertical="center" wrapText="1"/>
    </xf>
    <xf borderId="2" fillId="4" fontId="3" numFmtId="40" xfId="0" applyAlignment="1" applyBorder="1" applyFill="1" applyFont="1" applyNumberFormat="1">
      <alignment horizontal="center" shrinkToFit="0" vertical="center" wrapText="1"/>
    </xf>
    <xf borderId="2" fillId="4" fontId="3" numFmtId="40" xfId="0" applyAlignment="1" applyBorder="1" applyFont="1" applyNumberFormat="1">
      <alignment horizontal="center" readingOrder="0" shrinkToFit="0" vertical="center" wrapText="1"/>
    </xf>
    <xf borderId="0" fillId="5" fontId="2" numFmtId="0" xfId="0" applyAlignment="1" applyFill="1" applyFont="1">
      <alignment horizontal="center" vertical="center"/>
    </xf>
    <xf borderId="3" fillId="5" fontId="1"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4" fillId="5" fontId="1" numFmtId="0" xfId="0" applyAlignment="1" applyBorder="1" applyFont="1">
      <alignment horizontal="center" readingOrder="0" shrinkToFit="0" vertical="center" wrapText="1"/>
    </xf>
    <xf borderId="3" fillId="5" fontId="6" numFmtId="0" xfId="0" applyAlignment="1" applyBorder="1" applyFont="1">
      <alignment horizontal="center" readingOrder="0" shrinkToFit="0" vertical="center" wrapText="0"/>
    </xf>
    <xf borderId="3" fillId="0" fontId="2" numFmtId="0" xfId="0" applyAlignment="1" applyBorder="1" applyFont="1">
      <alignment horizontal="center" readingOrder="0" vertical="center"/>
    </xf>
    <xf borderId="4" fillId="5" fontId="1" numFmtId="1" xfId="0" applyAlignment="1" applyBorder="1" applyFont="1" applyNumberFormat="1">
      <alignment horizontal="center" readingOrder="0" vertical="center"/>
    </xf>
    <xf borderId="3" fillId="5" fontId="1" numFmtId="1" xfId="0" applyAlignment="1" applyBorder="1" applyFont="1" applyNumberFormat="1">
      <alignment horizontal="center" readingOrder="0" vertical="center"/>
    </xf>
    <xf borderId="3" fillId="5" fontId="1" numFmtId="1" xfId="0" applyAlignment="1" applyBorder="1" applyFont="1" applyNumberFormat="1">
      <alignment horizontal="center" readingOrder="0" vertical="center"/>
    </xf>
    <xf borderId="3" fillId="5" fontId="1" numFmtId="164" xfId="0" applyAlignment="1" applyBorder="1" applyFont="1" applyNumberFormat="1">
      <alignment horizontal="center" readingOrder="0" vertical="center"/>
    </xf>
    <xf borderId="3" fillId="5" fontId="1" numFmtId="165" xfId="0" applyAlignment="1" applyBorder="1" applyFont="1" applyNumberFormat="1">
      <alignment horizontal="center" readingOrder="0" vertical="center"/>
    </xf>
    <xf borderId="3" fillId="5" fontId="1" numFmtId="166" xfId="0" applyAlignment="1" applyBorder="1" applyFont="1" applyNumberFormat="1">
      <alignment horizontal="center" vertical="center"/>
    </xf>
    <xf borderId="3" fillId="5" fontId="1" numFmtId="167" xfId="0" applyAlignment="1" applyBorder="1" applyFont="1" applyNumberFormat="1">
      <alignment horizontal="center" readingOrder="0" vertical="center"/>
    </xf>
    <xf borderId="3" fillId="5" fontId="1" numFmtId="2" xfId="0" applyAlignment="1" applyBorder="1" applyFont="1" applyNumberFormat="1">
      <alignment horizontal="center" readingOrder="0" vertical="center"/>
    </xf>
    <xf borderId="3" fillId="5" fontId="1" numFmtId="2" xfId="0" applyAlignment="1" applyBorder="1" applyFont="1" applyNumberFormat="1">
      <alignment horizontal="center" readingOrder="0" shrinkToFit="0" vertical="center" wrapText="1"/>
    </xf>
    <xf borderId="3" fillId="5" fontId="1" numFmtId="168" xfId="0" applyAlignment="1" applyBorder="1" applyFont="1" applyNumberFormat="1">
      <alignment horizontal="center" readingOrder="0" vertical="center"/>
    </xf>
    <xf borderId="3" fillId="5" fontId="1" numFmtId="0" xfId="0" applyAlignment="1" applyBorder="1" applyFont="1">
      <alignment horizontal="center" readingOrder="0" vertical="center"/>
    </xf>
    <xf borderId="3" fillId="5" fontId="1" numFmtId="49" xfId="0" applyAlignment="1" applyBorder="1" applyFont="1" applyNumberFormat="1">
      <alignment horizontal="center" vertical="center"/>
    </xf>
    <xf borderId="3" fillId="5" fontId="1" numFmtId="9" xfId="0" applyAlignment="1" applyBorder="1" applyFont="1" applyNumberFormat="1">
      <alignment horizontal="center" readingOrder="0" vertical="center"/>
    </xf>
    <xf borderId="3" fillId="5" fontId="1" numFmtId="0" xfId="0" applyAlignment="1" applyBorder="1" applyFont="1">
      <alignment horizontal="center" readingOrder="0" vertical="center"/>
    </xf>
    <xf borderId="3" fillId="5" fontId="1" numFmtId="9" xfId="0" applyAlignment="1" applyBorder="1" applyFont="1" applyNumberFormat="1">
      <alignment horizontal="center" readingOrder="0" vertical="center"/>
    </xf>
    <xf borderId="3" fillId="5" fontId="2" numFmtId="0" xfId="0" applyAlignment="1" applyBorder="1" applyFont="1">
      <alignment horizontal="center" vertical="center"/>
    </xf>
    <xf borderId="3" fillId="5" fontId="2" numFmtId="0" xfId="0" applyAlignment="1" applyBorder="1" applyFont="1">
      <alignment horizontal="center" readingOrder="0" shrinkToFit="0" vertical="center" wrapText="1"/>
    </xf>
    <xf borderId="4" fillId="5" fontId="1" numFmtId="1" xfId="0" applyAlignment="1" applyBorder="1" applyFont="1" applyNumberFormat="1">
      <alignment horizontal="center" readingOrder="0" shrinkToFit="1" vertical="center" wrapText="0"/>
    </xf>
    <xf borderId="5" fillId="5" fontId="1" numFmtId="167" xfId="0" applyAlignment="1" applyBorder="1" applyFont="1" applyNumberFormat="1">
      <alignment horizontal="center" readingOrder="0" vertical="center"/>
    </xf>
    <xf borderId="5" fillId="5" fontId="1" numFmtId="2" xfId="0" applyAlignment="1" applyBorder="1" applyFont="1" applyNumberFormat="1">
      <alignment horizontal="center" readingOrder="0" vertical="center"/>
    </xf>
    <xf borderId="3" fillId="5" fontId="1" numFmtId="0" xfId="0" applyAlignment="1" applyBorder="1" applyFont="1">
      <alignment horizontal="center" vertical="center"/>
    </xf>
    <xf borderId="3" fillId="5" fontId="1" numFmtId="49" xfId="0" applyAlignment="1" applyBorder="1" applyFont="1" applyNumberFormat="1">
      <alignment horizontal="center" readingOrder="0" vertical="center"/>
    </xf>
    <xf borderId="3" fillId="5" fontId="1" numFmtId="0" xfId="0" applyAlignment="1" applyBorder="1" applyFont="1">
      <alignment horizontal="center" shrinkToFit="0" vertical="center" wrapText="1"/>
    </xf>
    <xf borderId="3" fillId="5" fontId="1" numFmtId="168" xfId="0" applyAlignment="1" applyBorder="1" applyFont="1" applyNumberFormat="1">
      <alignment horizontal="center" vertical="center"/>
    </xf>
    <xf borderId="3" fillId="5" fontId="1" numFmtId="49" xfId="0" applyAlignment="1" applyBorder="1" applyFont="1" applyNumberFormat="1">
      <alignment horizontal="center" vertical="center"/>
    </xf>
    <xf borderId="0" fillId="5" fontId="1" numFmtId="0" xfId="0" applyAlignment="1" applyFont="1">
      <alignment horizontal="center" vertical="center"/>
    </xf>
    <xf borderId="0" fillId="5" fontId="2" numFmtId="0" xfId="0" applyAlignment="1" applyFont="1">
      <alignment horizontal="center" readingOrder="0" vertical="center"/>
    </xf>
    <xf borderId="0" fillId="5" fontId="1" numFmtId="0" xfId="0" applyAlignment="1" applyFont="1">
      <alignment horizontal="center" shrinkToFit="0" vertical="center" wrapText="1"/>
    </xf>
    <xf borderId="3" fillId="5" fontId="1" numFmtId="1" xfId="0" applyAlignment="1" applyBorder="1" applyFont="1" applyNumberFormat="1">
      <alignment horizontal="center" shrinkToFit="0" vertical="center" wrapText="1"/>
    </xf>
    <xf borderId="3" fillId="5" fontId="1" numFmtId="1" xfId="0" applyAlignment="1" applyBorder="1" applyFont="1" applyNumberFormat="1">
      <alignment horizontal="center" vertical="center"/>
    </xf>
    <xf borderId="0" fillId="5" fontId="7" numFmtId="164" xfId="0" applyAlignment="1" applyFont="1" applyNumberFormat="1">
      <alignment horizontal="center" vertical="center"/>
    </xf>
    <xf borderId="0" fillId="5" fontId="7" numFmtId="165" xfId="0" applyAlignment="1" applyFont="1" applyNumberFormat="1">
      <alignment horizontal="center" vertical="center"/>
    </xf>
    <xf borderId="3" fillId="5" fontId="8" numFmtId="169" xfId="0" applyAlignment="1" applyBorder="1" applyFont="1" applyNumberFormat="1">
      <alignment horizontal="center" vertical="center"/>
    </xf>
    <xf borderId="0" fillId="5" fontId="2" numFmtId="170" xfId="0" applyAlignment="1" applyFont="1" applyNumberFormat="1">
      <alignment horizontal="center" vertical="center"/>
    </xf>
    <xf borderId="6" fillId="5" fontId="8" numFmtId="2" xfId="0" applyAlignment="1" applyBorder="1" applyFont="1" applyNumberFormat="1">
      <alignment horizontal="center" vertical="center"/>
    </xf>
    <xf borderId="5" fillId="5" fontId="8" numFmtId="2" xfId="0" applyAlignment="1" applyBorder="1" applyFont="1" applyNumberFormat="1">
      <alignment horizontal="center" vertical="center"/>
    </xf>
    <xf borderId="3" fillId="5" fontId="2" numFmtId="2" xfId="0" applyAlignment="1" applyBorder="1" applyFont="1" applyNumberFormat="1">
      <alignment horizontal="center" vertical="center"/>
    </xf>
    <xf borderId="3" fillId="5" fontId="8" numFmtId="168" xfId="0" applyAlignment="1" applyBorder="1" applyFont="1" applyNumberFormat="1">
      <alignment horizontal="center" vertical="center"/>
    </xf>
    <xf borderId="0" fillId="5" fontId="1" numFmtId="9" xfId="0" applyAlignment="1" applyFont="1" applyNumberFormat="1">
      <alignment horizontal="center" vertical="center"/>
    </xf>
    <xf borderId="0" fillId="5" fontId="1" numFmtId="0" xfId="0" applyAlignment="1" applyFont="1">
      <alignment horizontal="center" vertical="center"/>
    </xf>
    <xf borderId="0" fillId="5" fontId="1" numFmtId="0" xfId="0" applyAlignment="1" applyFont="1">
      <alignment horizontal="center" readingOrder="0" vertical="center"/>
    </xf>
    <xf borderId="0" fillId="5" fontId="1" numFmtId="0" xfId="0" applyAlignment="1" applyFont="1">
      <alignment horizontal="center" shrinkToFit="0" vertical="center" wrapText="1"/>
    </xf>
    <xf borderId="0" fillId="5" fontId="1" numFmtId="0" xfId="0" applyAlignment="1" applyFont="1">
      <alignment horizontal="center" shrinkToFit="0" vertical="center" wrapText="1"/>
    </xf>
    <xf borderId="7" fillId="5" fontId="1" numFmtId="0" xfId="0" applyAlignment="1" applyBorder="1" applyFont="1">
      <alignment horizontal="center" vertical="center"/>
    </xf>
    <xf borderId="7" fillId="5" fontId="1" numFmtId="0" xfId="0" applyAlignment="1" applyBorder="1" applyFont="1">
      <alignment horizontal="center" shrinkToFit="0" vertical="center" wrapText="1"/>
    </xf>
    <xf borderId="8" fillId="5" fontId="1" numFmtId="0" xfId="0" applyAlignment="1" applyBorder="1" applyFont="1">
      <alignment horizontal="center" vertical="center"/>
    </xf>
    <xf borderId="0" fillId="5" fontId="8" numFmtId="0" xfId="0" applyAlignment="1" applyFont="1">
      <alignment horizontal="center" vertical="center"/>
    </xf>
    <xf borderId="0" fillId="5" fontId="1" numFmtId="0" xfId="0" applyAlignment="1" applyFont="1">
      <alignment horizontal="center" readingOrder="0" vertical="center"/>
    </xf>
    <xf borderId="0" fillId="5" fontId="1" numFmtId="0" xfId="0" applyAlignment="1" applyFont="1">
      <alignment horizontal="center" readingOrder="0" shrinkToFit="0" vertical="center" wrapText="1"/>
    </xf>
    <xf borderId="0" fillId="5" fontId="1" numFmtId="0" xfId="0" applyAlignment="1" applyFont="1">
      <alignment horizontal="center" vertical="center"/>
    </xf>
    <xf borderId="0" fillId="5" fontId="1" numFmtId="10" xfId="0" applyAlignment="1" applyFont="1" applyNumberFormat="1">
      <alignment horizontal="center" readingOrder="0" vertical="center"/>
    </xf>
    <xf borderId="0" fillId="5" fontId="8" numFmtId="0" xfId="0" applyAlignment="1" applyFont="1">
      <alignment horizontal="center" vertical="center"/>
    </xf>
    <xf borderId="3" fillId="6" fontId="3" numFmtId="49" xfId="0" applyAlignment="1" applyBorder="1" applyFill="1" applyFont="1" applyNumberFormat="1">
      <alignment horizontal="center" shrinkToFit="0" vertical="center" wrapText="1"/>
    </xf>
    <xf borderId="3" fillId="6" fontId="3" numFmtId="171" xfId="0" applyAlignment="1" applyBorder="1" applyFont="1" applyNumberFormat="1">
      <alignment horizontal="center" shrinkToFit="0" vertical="center" wrapText="1"/>
    </xf>
    <xf borderId="3" fillId="6" fontId="3" numFmtId="172" xfId="0" applyAlignment="1" applyBorder="1" applyFont="1" applyNumberFormat="1">
      <alignment horizontal="center" shrinkToFit="0" vertical="center" wrapText="1"/>
    </xf>
    <xf borderId="3" fillId="6" fontId="9" numFmtId="171" xfId="0" applyAlignment="1" applyBorder="1" applyFont="1" applyNumberFormat="1">
      <alignment horizontal="center" readingOrder="0" shrinkToFit="0" vertical="center" wrapText="1"/>
    </xf>
    <xf borderId="3" fillId="6" fontId="3" numFmtId="171" xfId="0" applyAlignment="1" applyBorder="1" applyFont="1" applyNumberFormat="1">
      <alignment horizontal="center" readingOrder="0" shrinkToFit="0" vertical="center" wrapText="1"/>
    </xf>
    <xf borderId="9" fillId="6" fontId="3" numFmtId="171" xfId="0" applyAlignment="1" applyBorder="1" applyFont="1" applyNumberFormat="1">
      <alignment horizontal="center" shrinkToFit="0" vertical="center" wrapText="1"/>
    </xf>
    <xf borderId="3" fillId="6" fontId="3" numFmtId="173" xfId="0" applyAlignment="1" applyBorder="1" applyFont="1" applyNumberFormat="1">
      <alignment horizontal="center" readingOrder="0" shrinkToFit="0" vertical="center" wrapText="1"/>
    </xf>
    <xf borderId="3" fillId="6" fontId="3" numFmtId="173" xfId="0" applyAlignment="1" applyBorder="1" applyFont="1" applyNumberFormat="1">
      <alignment horizontal="center" shrinkToFit="0" vertical="center" wrapText="1"/>
    </xf>
    <xf borderId="3" fillId="6" fontId="3" numFmtId="171" xfId="0" applyAlignment="1" applyBorder="1" applyFont="1" applyNumberFormat="1">
      <alignment horizontal="center" shrinkToFit="0" vertical="center" wrapText="1"/>
    </xf>
    <xf borderId="3" fillId="7" fontId="3" numFmtId="171" xfId="0" applyAlignment="1" applyBorder="1" applyFill="1" applyFont="1" applyNumberFormat="1">
      <alignment horizontal="center" readingOrder="0" shrinkToFit="0" vertical="center" wrapText="1"/>
    </xf>
    <xf borderId="3" fillId="8" fontId="3" numFmtId="171" xfId="0" applyAlignment="1" applyBorder="1" applyFill="1" applyFont="1" applyNumberFormat="1">
      <alignment horizontal="center" readingOrder="0" shrinkToFit="0" vertical="center" wrapText="1"/>
    </xf>
    <xf borderId="3" fillId="9" fontId="3" numFmtId="171" xfId="0" applyAlignment="1" applyBorder="1" applyFill="1" applyFont="1" applyNumberFormat="1">
      <alignment horizontal="center" readingOrder="0" shrinkToFit="0" vertical="center" wrapText="1"/>
    </xf>
    <xf borderId="3" fillId="10" fontId="10" numFmtId="174" xfId="0" applyAlignment="1" applyBorder="1" applyFill="1" applyFont="1" applyNumberFormat="1">
      <alignment horizontal="center" shrinkToFit="0" vertical="center" wrapText="1"/>
    </xf>
    <xf borderId="3" fillId="0" fontId="1" numFmtId="171" xfId="0" applyAlignment="1" applyBorder="1" applyFont="1" applyNumberFormat="1">
      <alignment horizontal="center" vertical="center"/>
    </xf>
    <xf borderId="3" fillId="0" fontId="1" numFmtId="171" xfId="0" applyAlignment="1" applyBorder="1" applyFont="1" applyNumberFormat="1">
      <alignment horizontal="center" shrinkToFit="0" vertical="center" wrapText="1"/>
    </xf>
    <xf borderId="10" fillId="0" fontId="1" numFmtId="175" xfId="0" applyAlignment="1" applyBorder="1" applyFont="1" applyNumberFormat="1">
      <alignment horizontal="center" vertical="center"/>
    </xf>
    <xf borderId="3" fillId="0" fontId="1" numFmtId="175" xfId="0" applyAlignment="1" applyBorder="1" applyFont="1" applyNumberFormat="1">
      <alignment horizontal="center" readingOrder="0" vertical="center"/>
    </xf>
    <xf borderId="3" fillId="0" fontId="1" numFmtId="175" xfId="0" applyAlignment="1" applyBorder="1" applyFont="1" applyNumberFormat="1">
      <alignment horizontal="center" vertical="center"/>
    </xf>
    <xf borderId="3" fillId="0" fontId="11" numFmtId="166" xfId="0" applyAlignment="1" applyBorder="1" applyFont="1" applyNumberFormat="1">
      <alignment horizontal="center" readingOrder="0" vertical="center"/>
    </xf>
    <xf borderId="2" fillId="0" fontId="1" numFmtId="175" xfId="0" applyAlignment="1" applyBorder="1" applyFont="1" applyNumberFormat="1">
      <alignment horizontal="center" vertical="center"/>
    </xf>
    <xf borderId="4" fillId="0" fontId="1" numFmtId="171" xfId="0" applyAlignment="1" applyBorder="1" applyFont="1" applyNumberFormat="1">
      <alignment horizontal="center" vertical="center"/>
    </xf>
    <xf borderId="3" fillId="10" fontId="1" numFmtId="171" xfId="0" applyAlignment="1" applyBorder="1" applyFont="1" applyNumberFormat="1">
      <alignment horizontal="center" vertical="center"/>
    </xf>
    <xf borderId="3" fillId="10" fontId="1" numFmtId="176" xfId="0" applyAlignment="1" applyBorder="1" applyFont="1" applyNumberFormat="1">
      <alignment horizontal="center" readingOrder="0" vertical="center"/>
    </xf>
    <xf borderId="3" fillId="10" fontId="1" numFmtId="176" xfId="0" applyAlignment="1" applyBorder="1" applyFont="1" applyNumberFormat="1">
      <alignment horizontal="center" vertical="center"/>
    </xf>
    <xf borderId="0" fillId="0" fontId="8" numFmtId="175" xfId="0" applyAlignment="1" applyFont="1" applyNumberFormat="1">
      <alignment horizontal="center" vertical="center"/>
    </xf>
    <xf borderId="11" fillId="0" fontId="8" numFmtId="175" xfId="0" applyAlignment="1" applyBorder="1" applyFont="1" applyNumberFormat="1">
      <alignment horizontal="center" vertical="center"/>
    </xf>
    <xf borderId="11" fillId="0" fontId="8" numFmtId="175" xfId="0" applyAlignment="1" applyBorder="1" applyFont="1" applyNumberFormat="1">
      <alignment horizontal="center" readingOrder="0" vertical="center"/>
    </xf>
    <xf borderId="12" fillId="0" fontId="8" numFmtId="175" xfId="0" applyAlignment="1" applyBorder="1" applyFont="1" applyNumberFormat="1">
      <alignment horizontal="center" vertical="center"/>
    </xf>
    <xf borderId="13" fillId="0" fontId="8" numFmtId="175" xfId="0" applyAlignment="1" applyBorder="1" applyFont="1" applyNumberFormat="1">
      <alignment horizontal="center" vertical="center"/>
    </xf>
    <xf borderId="14" fillId="0" fontId="8" numFmtId="175" xfId="0" applyAlignment="1" applyBorder="1" applyFont="1" applyNumberFormat="1">
      <alignment horizontal="center" readingOrder="0" vertical="center"/>
    </xf>
    <xf borderId="0" fillId="7" fontId="12" numFmtId="0" xfId="0" applyAlignment="1" applyFont="1">
      <alignment horizontal="center" vertical="center"/>
    </xf>
    <xf borderId="0" fillId="0" fontId="1" numFmtId="176" xfId="0" applyAlignment="1" applyFont="1" applyNumberFormat="1">
      <alignment horizontal="center" vertical="center"/>
    </xf>
    <xf borderId="0" fillId="11" fontId="1" numFmtId="176" xfId="0" applyAlignment="1" applyFill="1" applyFont="1" applyNumberFormat="1">
      <alignment horizontal="center" readingOrder="0" vertical="center"/>
    </xf>
    <xf borderId="0" fillId="5" fontId="13" numFmtId="0" xfId="0" applyAlignment="1" applyFont="1">
      <alignment horizontal="center" vertical="center"/>
    </xf>
    <xf borderId="15" fillId="0" fontId="1" numFmtId="0" xfId="0" applyAlignment="1" applyBorder="1" applyFont="1">
      <alignment horizontal="center" vertical="center"/>
    </xf>
    <xf borderId="0" fillId="0" fontId="8" numFmtId="171" xfId="0" applyAlignment="1" applyFont="1" applyNumberFormat="1">
      <alignment horizontal="center" vertical="center"/>
    </xf>
    <xf borderId="0" fillId="0" fontId="3" numFmtId="175" xfId="0" applyAlignment="1" applyFont="1" applyNumberFormat="1">
      <alignment horizontal="center" shrinkToFit="0" vertical="center" wrapText="1"/>
    </xf>
    <xf borderId="0" fillId="4" fontId="8" numFmtId="0" xfId="0" applyAlignment="1" applyFont="1">
      <alignment horizontal="center" readingOrder="0" vertical="center"/>
    </xf>
    <xf borderId="3" fillId="4" fontId="8" numFmtId="0" xfId="0" applyAlignment="1" applyBorder="1" applyFont="1">
      <alignment horizontal="center" readingOrder="0" vertical="center"/>
    </xf>
    <xf borderId="3" fillId="0" fontId="1" numFmtId="0" xfId="0" applyAlignment="1" applyBorder="1" applyFont="1">
      <alignment horizontal="center" vertical="center"/>
    </xf>
    <xf borderId="0" fillId="0" fontId="2" numFmtId="0" xfId="0" applyAlignment="1" applyFont="1">
      <alignment horizontal="center" vertical="center"/>
    </xf>
    <xf borderId="0" fillId="0" fontId="2" numFmtId="168" xfId="0" applyAlignment="1" applyFont="1" applyNumberFormat="1">
      <alignment horizontal="center" vertical="center"/>
    </xf>
    <xf borderId="0" fillId="0" fontId="2" numFmtId="171" xfId="0" applyAlignment="1" applyFont="1" applyNumberFormat="1">
      <alignment horizontal="center" vertical="center"/>
    </xf>
    <xf borderId="0" fillId="5" fontId="14" numFmtId="171" xfId="0" applyAlignment="1" applyFont="1" applyNumberFormat="1">
      <alignment horizontal="center" vertical="center"/>
    </xf>
    <xf borderId="3" fillId="0" fontId="1" numFmtId="0" xfId="0" applyAlignment="1" applyBorder="1" applyFont="1">
      <alignment horizontal="center" readingOrder="0" vertical="center"/>
    </xf>
    <xf borderId="3" fillId="0" fontId="1" numFmtId="2" xfId="0" applyAlignment="1" applyBorder="1" applyFont="1" applyNumberFormat="1">
      <alignment horizontal="center" readingOrder="0" vertical="center"/>
    </xf>
    <xf borderId="3" fillId="0" fontId="15" numFmtId="0" xfId="0" applyAlignment="1" applyBorder="1" applyFont="1">
      <alignment horizontal="center" vertical="center"/>
    </xf>
    <xf borderId="3" fillId="0" fontId="1" numFmtId="168" xfId="0" applyAlignment="1" applyBorder="1" applyFont="1" applyNumberFormat="1">
      <alignment horizontal="center" readingOrder="0" shrinkToFit="0" vertical="center" wrapText="1"/>
    </xf>
    <xf borderId="10" fillId="6" fontId="3" numFmtId="171" xfId="0" applyAlignment="1" applyBorder="1" applyFont="1" applyNumberFormat="1">
      <alignment horizontal="center" readingOrder="0" shrinkToFit="0" vertical="center" wrapText="1"/>
    </xf>
    <xf borderId="4" fillId="0" fontId="16" numFmtId="0" xfId="0" applyBorder="1" applyFont="1"/>
    <xf borderId="0" fillId="4" fontId="8" numFmtId="0" xfId="0" applyAlignment="1" applyFont="1">
      <alignment horizontal="center" vertical="center"/>
    </xf>
    <xf borderId="3" fillId="4" fontId="8" numFmtId="0" xfId="0" applyAlignment="1" applyBorder="1" applyFont="1">
      <alignment horizontal="center" vertical="center"/>
    </xf>
    <xf borderId="0" fillId="0" fontId="15" numFmtId="0" xfId="0" applyAlignment="1" applyFont="1">
      <alignment horizontal="center" vertical="center"/>
    </xf>
    <xf borderId="0" fillId="5" fontId="1" numFmtId="0" xfId="0" applyAlignment="1" applyFont="1">
      <alignment horizontal="center" readingOrder="0" textRotation="90" vertical="center"/>
    </xf>
    <xf borderId="3" fillId="12" fontId="17" numFmtId="166" xfId="0" applyAlignment="1" applyBorder="1" applyFill="1" applyFont="1" applyNumberFormat="1">
      <alignment horizontal="center" readingOrder="0" shrinkToFit="0" vertical="center" wrapText="1"/>
    </xf>
    <xf borderId="0" fillId="0" fontId="1" numFmtId="166"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1" numFmtId="177" xfId="0" applyAlignment="1" applyFont="1" applyNumberFormat="1">
      <alignment horizontal="center" vertical="center"/>
    </xf>
    <xf borderId="0" fillId="0" fontId="1" numFmtId="177" xfId="0" applyAlignment="1" applyFont="1" applyNumberFormat="1">
      <alignment horizontal="center" readingOrder="0" vertical="center"/>
    </xf>
    <xf borderId="0" fillId="0" fontId="1" numFmtId="0" xfId="0" applyAlignment="1" applyFont="1">
      <alignment horizontal="center" readingOrder="0" vertical="center"/>
    </xf>
    <xf borderId="3" fillId="0" fontId="1" numFmtId="166" xfId="0" applyAlignment="1" applyBorder="1" applyFont="1" applyNumberFormat="1">
      <alignment horizontal="center" readingOrder="0" shrinkToFit="0" vertical="center" wrapText="1"/>
    </xf>
    <xf borderId="0" fillId="0" fontId="8" numFmtId="0" xfId="0" applyAlignment="1" applyFont="1">
      <alignment horizontal="center" shrinkToFit="0" vertical="center" wrapText="1"/>
    </xf>
    <xf borderId="3" fillId="0" fontId="8" numFmtId="0" xfId="0" applyAlignment="1" applyBorder="1" applyFont="1">
      <alignment horizontal="center" readingOrder="0" shrinkToFit="0" vertical="center" wrapText="1"/>
    </xf>
    <xf borderId="3" fillId="0" fontId="12" numFmtId="0" xfId="0" applyAlignment="1" applyBorder="1" applyFont="1">
      <alignment horizontal="center" readingOrder="0" vertical="center"/>
    </xf>
    <xf borderId="3" fillId="0" fontId="8" numFmtId="0" xfId="0" applyAlignment="1" applyBorder="1" applyFont="1">
      <alignment horizontal="center" readingOrder="0" vertical="center"/>
    </xf>
    <xf borderId="0" fillId="0" fontId="8" numFmtId="0" xfId="0" applyAlignment="1" applyFont="1">
      <alignment horizontal="center" vertical="center"/>
    </xf>
    <xf borderId="10" fillId="0" fontId="8" numFmtId="0" xfId="0" applyAlignment="1" applyBorder="1" applyFont="1">
      <alignment horizontal="center" vertical="center"/>
    </xf>
    <xf borderId="3" fillId="0" fontId="8" numFmtId="0" xfId="0" applyAlignment="1" applyBorder="1" applyFont="1">
      <alignment horizontal="center" vertical="center"/>
    </xf>
    <xf borderId="3" fillId="0" fontId="18" numFmtId="0" xfId="0" applyAlignment="1" applyBorder="1" applyFont="1">
      <alignment horizontal="center" shrinkToFit="0" vertical="center" wrapText="1"/>
    </xf>
    <xf borderId="0" fillId="0" fontId="1" numFmtId="10" xfId="0" applyAlignment="1" applyFont="1" applyNumberFormat="1">
      <alignment horizontal="center" vertical="center"/>
    </xf>
    <xf borderId="0" fillId="0" fontId="1" numFmtId="0" xfId="0" applyAlignment="1" applyFont="1">
      <alignment horizontal="center" vertical="center"/>
    </xf>
    <xf borderId="3" fillId="0" fontId="1" numFmtId="0" xfId="0" applyAlignment="1" applyBorder="1" applyFont="1">
      <alignment horizontal="center" vertical="center"/>
    </xf>
    <xf borderId="3" fillId="0" fontId="2" numFmtId="9" xfId="0" applyAlignment="1" applyBorder="1" applyFont="1" applyNumberFormat="1">
      <alignment horizontal="center" vertical="center"/>
    </xf>
    <xf borderId="3" fillId="0" fontId="1" numFmtId="9" xfId="0" applyAlignment="1" applyBorder="1" applyFont="1" applyNumberFormat="1">
      <alignment horizontal="center" readingOrder="0" vertical="center"/>
    </xf>
    <xf borderId="10" fillId="8" fontId="8" numFmtId="0" xfId="0" applyAlignment="1" applyBorder="1" applyFont="1">
      <alignment horizontal="center" readingOrder="0" vertical="center"/>
    </xf>
    <xf borderId="16" fillId="0" fontId="16" numFmtId="0" xfId="0" applyBorder="1" applyFont="1"/>
    <xf borderId="3"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1" numFmtId="166" xfId="0" applyAlignment="1" applyBorder="1" applyFont="1" applyNumberFormat="1">
      <alignment horizontal="center" readingOrder="0" vertical="center"/>
    </xf>
    <xf borderId="3" fillId="0" fontId="1" numFmtId="0" xfId="0" applyAlignment="1" applyBorder="1" applyFont="1">
      <alignment horizontal="center" vertical="center"/>
    </xf>
    <xf borderId="3" fillId="0" fontId="1" numFmtId="10" xfId="0" applyAlignment="1" applyBorder="1" applyFont="1" applyNumberFormat="1">
      <alignment horizontal="center" vertical="center"/>
    </xf>
    <xf borderId="3" fillId="0" fontId="1" numFmtId="10" xfId="0" applyAlignment="1" applyBorder="1" applyFont="1" applyNumberFormat="1">
      <alignment horizontal="center" readingOrder="0" vertical="center"/>
    </xf>
    <xf borderId="3" fillId="13" fontId="1" numFmtId="0" xfId="0" applyAlignment="1" applyBorder="1" applyFill="1" applyFont="1">
      <alignment horizontal="center" readingOrder="0" vertical="center"/>
    </xf>
    <xf borderId="0" fillId="0" fontId="1" numFmtId="168" xfId="0" applyAlignment="1" applyFont="1" applyNumberFormat="1">
      <alignment horizontal="center" vertical="center"/>
    </xf>
    <xf borderId="3" fillId="14" fontId="1" numFmtId="0" xfId="0" applyAlignment="1" applyBorder="1" applyFill="1" applyFont="1">
      <alignment horizontal="center" readingOrder="0" vertical="center"/>
    </xf>
    <xf borderId="3" fillId="15" fontId="1" numFmtId="0" xfId="0" applyAlignment="1" applyBorder="1" applyFill="1" applyFont="1">
      <alignment horizontal="center" readingOrder="0" vertical="center"/>
    </xf>
    <xf borderId="3" fillId="16" fontId="1" numFmtId="0" xfId="0" applyAlignment="1" applyBorder="1" applyFill="1" applyFont="1">
      <alignment horizontal="center" vertical="center"/>
    </xf>
    <xf borderId="3" fillId="17" fontId="1" numFmtId="0" xfId="0" applyAlignment="1" applyBorder="1" applyFill="1" applyFont="1">
      <alignment horizontal="center" readingOrder="0" vertical="center"/>
    </xf>
    <xf borderId="3" fillId="0" fontId="19" numFmtId="0" xfId="0" applyAlignment="1" applyBorder="1" applyFont="1">
      <alignment horizontal="center" vertical="center"/>
    </xf>
    <xf borderId="3" fillId="0" fontId="1" numFmtId="171" xfId="0" applyBorder="1" applyFont="1" applyNumberFormat="1"/>
    <xf borderId="3" fillId="0" fontId="1" numFmtId="171" xfId="0" applyAlignment="1" applyBorder="1" applyFont="1" applyNumberFormat="1">
      <alignment horizontal="right" shrinkToFit="0" wrapText="1"/>
    </xf>
    <xf borderId="17" fillId="0" fontId="1" numFmtId="171" xfId="0" applyBorder="1" applyFont="1" applyNumberFormat="1"/>
    <xf borderId="3" fillId="10" fontId="1" numFmtId="171" xfId="0" applyBorder="1" applyFont="1" applyNumberFormat="1"/>
    <xf borderId="3" fillId="0" fontId="1" numFmtId="175" xfId="0" applyBorder="1" applyFont="1" applyNumberFormat="1"/>
    <xf borderId="3" fillId="0" fontId="11" numFmtId="166" xfId="0" applyAlignment="1" applyBorder="1" applyFont="1" applyNumberFormat="1">
      <alignment readingOrder="0"/>
    </xf>
    <xf borderId="10" fillId="0" fontId="1" numFmtId="175" xfId="0" applyBorder="1" applyFont="1" applyNumberFormat="1"/>
    <xf borderId="4" fillId="0" fontId="1" numFmtId="171" xfId="0" applyBorder="1" applyFont="1" applyNumberFormat="1"/>
    <xf borderId="4" fillId="10" fontId="1" numFmtId="176" xfId="0" applyAlignment="1" applyBorder="1" applyFont="1" applyNumberFormat="1">
      <alignment readingOrder="0"/>
    </xf>
    <xf borderId="3" fillId="10" fontId="1" numFmtId="176" xfId="0" applyBorder="1" applyFont="1" applyNumberFormat="1"/>
    <xf borderId="3" fillId="6" fontId="8" numFmtId="0" xfId="0" applyAlignment="1" applyBorder="1" applyFont="1">
      <alignment horizontal="center" readingOrder="0" shrinkToFit="0" vertical="center" wrapText="1"/>
    </xf>
    <xf borderId="3" fillId="6" fontId="8" numFmtId="175" xfId="0" applyAlignment="1" applyBorder="1" applyFont="1" applyNumberFormat="1">
      <alignment horizontal="center" vertical="center"/>
    </xf>
    <xf borderId="3" fillId="6" fontId="8" numFmtId="175" xfId="0" applyAlignment="1" applyBorder="1" applyFont="1" applyNumberFormat="1">
      <alignment horizontal="center" readingOrder="0" vertical="center"/>
    </xf>
    <xf borderId="3" fillId="6" fontId="8" numFmtId="171" xfId="0" applyBorder="1" applyFont="1" applyNumberFormat="1"/>
    <xf borderId="0" fillId="0" fontId="1" numFmtId="176" xfId="0" applyAlignment="1" applyFont="1" applyNumberFormat="1">
      <alignment horizontal="center"/>
    </xf>
    <xf borderId="3" fillId="6" fontId="1" numFmtId="175" xfId="0" applyAlignment="1" applyBorder="1" applyFont="1" applyNumberFormat="1">
      <alignment horizontal="center" vertical="center"/>
    </xf>
    <xf borderId="3" fillId="6" fontId="1" numFmtId="171" xfId="0" applyBorder="1" applyFont="1" applyNumberFormat="1"/>
    <xf borderId="3" fillId="6" fontId="8" numFmtId="175" xfId="0" applyAlignment="1" applyBorder="1" applyFont="1" applyNumberFormat="1">
      <alignment horizontal="center" shrinkToFit="0" vertical="center" wrapText="1"/>
    </xf>
    <xf borderId="3" fillId="6" fontId="8" numFmtId="0" xfId="0" applyAlignment="1" applyBorder="1" applyFont="1">
      <alignment horizontal="center" shrinkToFit="0" vertical="center" wrapText="1"/>
    </xf>
    <xf borderId="3" fillId="18" fontId="12" numFmtId="0" xfId="0" applyAlignment="1" applyBorder="1" applyFill="1" applyFont="1">
      <alignment horizontal="center" readingOrder="0"/>
    </xf>
    <xf borderId="3" fillId="18" fontId="2" numFmtId="166" xfId="0" applyAlignment="1" applyBorder="1" applyFont="1" applyNumberFormat="1">
      <alignment horizontal="center" readingOrder="0"/>
    </xf>
    <xf borderId="3" fillId="18" fontId="2" numFmtId="0" xfId="0" applyAlignment="1" applyBorder="1" applyFont="1">
      <alignment horizontal="center" readingOrder="0"/>
    </xf>
    <xf borderId="3" fillId="18" fontId="2" numFmtId="10" xfId="0" applyAlignment="1" applyBorder="1" applyFont="1" applyNumberFormat="1">
      <alignment horizontal="center" readingOrder="0"/>
    </xf>
    <xf borderId="3" fillId="11" fontId="12" numFmtId="0" xfId="0" applyAlignment="1" applyBorder="1" applyFont="1">
      <alignment horizontal="center" readingOrder="0"/>
    </xf>
    <xf borderId="3" fillId="11" fontId="2" numFmtId="166" xfId="0" applyAlignment="1" applyBorder="1" applyFont="1" applyNumberFormat="1">
      <alignment horizontal="center" readingOrder="0"/>
    </xf>
    <xf borderId="3" fillId="11" fontId="2" numFmtId="0" xfId="0" applyAlignment="1" applyBorder="1" applyFont="1">
      <alignment horizontal="center" readingOrder="0"/>
    </xf>
    <xf borderId="3" fillId="11" fontId="2" numFmtId="10" xfId="0" applyAlignment="1" applyBorder="1" applyFont="1" applyNumberFormat="1">
      <alignment horizontal="center" readingOrder="0"/>
    </xf>
    <xf borderId="3" fillId="19" fontId="12" numFmtId="0" xfId="0" applyAlignment="1" applyBorder="1" applyFill="1" applyFont="1">
      <alignment horizontal="center" readingOrder="0"/>
    </xf>
    <xf borderId="3" fillId="19" fontId="2" numFmtId="166" xfId="0" applyAlignment="1" applyBorder="1" applyFont="1" applyNumberFormat="1">
      <alignment horizontal="center" readingOrder="0"/>
    </xf>
    <xf borderId="3" fillId="19" fontId="2" numFmtId="0" xfId="0" applyAlignment="1" applyBorder="1" applyFont="1">
      <alignment horizontal="center" readingOrder="0"/>
    </xf>
    <xf borderId="3" fillId="19" fontId="2" numFmtId="10" xfId="0" applyAlignment="1" applyBorder="1" applyFont="1" applyNumberFormat="1">
      <alignment horizontal="center" readingOrder="0"/>
    </xf>
    <xf borderId="3" fillId="0" fontId="12" numFmtId="0" xfId="0" applyAlignment="1" applyBorder="1" applyFont="1">
      <alignment horizontal="center" readingOrder="0"/>
    </xf>
    <xf borderId="3" fillId="0" fontId="2" numFmtId="166" xfId="0" applyAlignment="1" applyBorder="1" applyFont="1" applyNumberFormat="1">
      <alignment horizontal="center" readingOrder="0"/>
    </xf>
    <xf borderId="3" fillId="0" fontId="2" numFmtId="0" xfId="0" applyAlignment="1" applyBorder="1" applyFont="1">
      <alignment horizontal="center" readingOrder="0"/>
    </xf>
    <xf borderId="3" fillId="0" fontId="2" numFmtId="10" xfId="0" applyAlignment="1" applyBorder="1" applyFont="1" applyNumberFormat="1">
      <alignment horizontal="center" readingOrder="0"/>
    </xf>
    <xf borderId="3" fillId="20" fontId="12" numFmtId="0" xfId="0" applyAlignment="1" applyBorder="1" applyFill="1" applyFont="1">
      <alignment horizontal="center" readingOrder="0"/>
    </xf>
    <xf borderId="3" fillId="20" fontId="2" numFmtId="166" xfId="0" applyAlignment="1" applyBorder="1" applyFont="1" applyNumberFormat="1">
      <alignment horizontal="center" readingOrder="0"/>
    </xf>
    <xf borderId="3" fillId="20" fontId="2" numFmtId="0" xfId="0" applyAlignment="1" applyBorder="1" applyFont="1">
      <alignment horizontal="center" readingOrder="0"/>
    </xf>
    <xf borderId="3" fillId="20" fontId="2" numFmtId="10" xfId="0" applyAlignment="1" applyBorder="1" applyFont="1" applyNumberFormat="1">
      <alignment horizontal="center" readingOrder="0"/>
    </xf>
    <xf borderId="3" fillId="21" fontId="12" numFmtId="0" xfId="0" applyAlignment="1" applyBorder="1" applyFill="1" applyFont="1">
      <alignment horizontal="center" readingOrder="0"/>
    </xf>
    <xf borderId="3" fillId="21" fontId="2" numFmtId="10" xfId="0" applyAlignment="1" applyBorder="1" applyFont="1" applyNumberFormat="1">
      <alignment horizontal="center" readingOrder="0"/>
    </xf>
    <xf borderId="3" fillId="21" fontId="2" numFmtId="166" xfId="0" applyAlignment="1" applyBorder="1" applyFont="1" applyNumberFormat="1">
      <alignment horizontal="center" readingOrder="0"/>
    </xf>
    <xf borderId="3" fillId="21" fontId="2" numFmtId="0" xfId="0" applyAlignment="1" applyBorder="1" applyFont="1">
      <alignment horizontal="center" readingOrder="0"/>
    </xf>
    <xf borderId="3" fillId="0" fontId="2" numFmtId="166" xfId="0" applyAlignment="1" applyBorder="1" applyFont="1" applyNumberFormat="1">
      <alignment readingOrder="0"/>
    </xf>
    <xf borderId="3" fillId="0" fontId="2" numFmtId="166" xfId="0" applyBorder="1" applyFont="1" applyNumberFormat="1"/>
    <xf borderId="3" fillId="19" fontId="2" numFmtId="166" xfId="0" applyAlignment="1" applyBorder="1" applyFont="1" applyNumberFormat="1">
      <alignment readingOrder="0"/>
    </xf>
    <xf borderId="3" fillId="19" fontId="2" numFmtId="166" xfId="0" applyBorder="1" applyFont="1" applyNumberFormat="1"/>
    <xf borderId="0" fillId="0" fontId="2" numFmtId="166" xfId="0" applyFont="1" applyNumberFormat="1"/>
    <xf borderId="0" fillId="0" fontId="2" numFmtId="0" xfId="0" applyAlignment="1" applyFont="1">
      <alignment vertical="bottom"/>
    </xf>
    <xf borderId="0" fillId="0" fontId="2" numFmtId="166" xfId="0" applyAlignment="1" applyFont="1" applyNumberFormat="1">
      <alignment vertical="bottom"/>
    </xf>
    <xf borderId="0" fillId="11" fontId="2" numFmtId="0" xfId="0" applyAlignment="1" applyFont="1">
      <alignment vertical="bottom"/>
    </xf>
    <xf borderId="0" fillId="11" fontId="2" numFmtId="178" xfId="0" applyAlignment="1" applyFont="1" applyNumberFormat="1">
      <alignment horizontal="right" vertical="bottom"/>
    </xf>
    <xf borderId="0" fillId="0" fontId="2" numFmtId="178" xfId="0" applyAlignment="1" applyFont="1" applyNumberFormat="1">
      <alignment horizontal="right" vertical="bottom"/>
    </xf>
    <xf borderId="0" fillId="19" fontId="2" numFmtId="0" xfId="0" applyAlignment="1" applyFont="1">
      <alignment vertical="bottom"/>
    </xf>
    <xf borderId="0" fillId="19" fontId="2" numFmtId="178" xfId="0" applyAlignment="1" applyFont="1" applyNumberFormat="1">
      <alignment horizontal="right" vertical="bottom"/>
    </xf>
    <xf borderId="0" fillId="20" fontId="2" numFmtId="0" xfId="0" applyAlignment="1" applyFont="1">
      <alignment vertical="bottom"/>
    </xf>
    <xf borderId="0" fillId="20" fontId="2" numFmtId="178" xfId="0" applyAlignment="1" applyFont="1" applyNumberFormat="1">
      <alignment horizontal="right" vertical="bottom"/>
    </xf>
    <xf borderId="0" fillId="21" fontId="2" numFmtId="0" xfId="0" applyAlignment="1" applyFont="1">
      <alignment vertical="bottom"/>
    </xf>
    <xf borderId="0" fillId="21" fontId="2" numFmtId="178" xfId="0" applyAlignment="1" applyFont="1" applyNumberFormat="1">
      <alignment horizontal="right" vertical="bottom"/>
    </xf>
    <xf borderId="0" fillId="0" fontId="12" numFmtId="0" xfId="0" applyAlignment="1" applyFont="1">
      <alignment vertical="bottom"/>
    </xf>
    <xf borderId="0" fillId="0" fontId="12" numFmtId="178" xfId="0" applyAlignment="1" applyFont="1" applyNumberFormat="1">
      <alignment horizontal="right" vertical="bottom"/>
    </xf>
    <xf borderId="3" fillId="0" fontId="8" numFmtId="0" xfId="0" applyAlignment="1" applyBorder="1" applyFont="1">
      <alignment horizontal="center" vertical="bottom"/>
    </xf>
    <xf borderId="3" fillId="0" fontId="8" numFmtId="166" xfId="0" applyAlignment="1" applyBorder="1" applyFont="1" applyNumberFormat="1">
      <alignment horizontal="center" vertical="bottom"/>
    </xf>
    <xf borderId="3" fillId="0" fontId="8" numFmtId="0" xfId="0" applyAlignment="1" applyBorder="1" applyFont="1">
      <alignment horizontal="center" shrinkToFit="0" wrapText="1"/>
    </xf>
    <xf borderId="3" fillId="0" fontId="1" numFmtId="0" xfId="0" applyAlignment="1" applyBorder="1" applyFont="1">
      <alignment vertical="bottom"/>
    </xf>
    <xf borderId="3" fillId="0" fontId="1" numFmtId="166" xfId="0" applyAlignment="1" applyBorder="1" applyFont="1" applyNumberFormat="1">
      <alignment horizontal="right" vertical="bottom"/>
    </xf>
    <xf borderId="3" fillId="0" fontId="1" numFmtId="10" xfId="0" applyAlignment="1" applyBorder="1" applyFont="1" applyNumberFormat="1">
      <alignment horizontal="right" vertical="bottom"/>
    </xf>
    <xf borderId="0" fillId="0" fontId="1" numFmtId="0" xfId="0" applyAlignment="1" applyFont="1">
      <alignment vertical="bottom"/>
    </xf>
    <xf borderId="0" fillId="0" fontId="1" numFmtId="166" xfId="0" applyAlignment="1" applyFont="1" applyNumberFormat="1">
      <alignment vertical="bottom"/>
    </xf>
    <xf borderId="0" fillId="0" fontId="1" numFmtId="166" xfId="0" applyAlignment="1" applyFont="1" applyNumberFormat="1">
      <alignment horizontal="right" vertical="bottom"/>
    </xf>
    <xf borderId="0" fillId="0" fontId="20" numFmtId="0" xfId="0" applyFont="1"/>
    <xf borderId="3" fillId="0" fontId="20" numFmtId="0" xfId="0" applyBorder="1" applyFont="1"/>
    <xf borderId="3" fillId="0" fontId="20" numFmtId="175" xfId="0" applyAlignment="1" applyBorder="1" applyFont="1" applyNumberFormat="1">
      <alignment horizontal="center" readingOrder="0"/>
    </xf>
    <xf borderId="0" fillId="0" fontId="20" numFmtId="0" xfId="0" applyAlignment="1" applyFont="1">
      <alignment horizontal="left"/>
    </xf>
    <xf borderId="3" fillId="0" fontId="0" numFmtId="0" xfId="0" applyBorder="1" applyFont="1"/>
    <xf borderId="3" fillId="0" fontId="0" numFmtId="1" xfId="0" applyAlignment="1" applyBorder="1" applyFont="1" applyNumberFormat="1">
      <alignment horizontal="center" readingOrder="0"/>
    </xf>
    <xf borderId="0" fillId="0" fontId="0" numFmtId="0" xfId="0" applyAlignment="1" applyFont="1">
      <alignment horizontal="left"/>
    </xf>
    <xf borderId="3" fillId="0" fontId="20" numFmtId="0" xfId="0" applyAlignment="1" applyBorder="1" applyFont="1">
      <alignment readingOrder="0"/>
    </xf>
    <xf borderId="3" fillId="0" fontId="20" numFmtId="4" xfId="0" applyAlignment="1" applyBorder="1" applyFont="1" applyNumberFormat="1">
      <alignment horizontal="center" readingOrder="0"/>
    </xf>
    <xf borderId="0" fillId="0" fontId="2" numFmtId="0" xfId="0" applyFont="1"/>
    <xf borderId="0" fillId="0" fontId="0" numFmtId="175" xfId="0" applyFont="1" applyNumberFormat="1"/>
    <xf borderId="0" fillId="0" fontId="12" numFmtId="0" xfId="0" applyFont="1"/>
    <xf borderId="0" fillId="0" fontId="20" numFmtId="175" xfId="0" applyFont="1" applyNumberFormat="1"/>
    <xf borderId="3" fillId="0" fontId="15" numFmtId="0" xfId="0" applyAlignment="1" applyBorder="1" applyFont="1">
      <alignment horizontal="center"/>
    </xf>
    <xf borderId="3" fillId="8" fontId="1" numFmtId="175" xfId="0" applyAlignment="1" applyBorder="1" applyFont="1" applyNumberFormat="1">
      <alignment readingOrder="0"/>
    </xf>
    <xf borderId="0" fillId="0" fontId="1" numFmtId="177" xfId="0" applyAlignment="1" applyFont="1" applyNumberFormat="1">
      <alignment readingOrder="0"/>
    </xf>
    <xf borderId="0" fillId="22" fontId="20" numFmtId="0" xfId="0" applyFill="1" applyFont="1"/>
    <xf borderId="0" fillId="22" fontId="2" numFmtId="0" xfId="0" applyFont="1"/>
    <xf borderId="0" fillId="23" fontId="20" numFmtId="171" xfId="0" applyAlignment="1" applyFill="1" applyFont="1" applyNumberFormat="1">
      <alignment horizontal="center" shrinkToFit="0" vertical="center" wrapText="1"/>
    </xf>
    <xf borderId="3" fillId="23" fontId="20" numFmtId="171" xfId="0" applyAlignment="1" applyBorder="1" applyFont="1" applyNumberFormat="1">
      <alignment horizontal="center" shrinkToFit="0" vertical="center" wrapText="1"/>
    </xf>
    <xf borderId="3" fillId="23" fontId="20" numFmtId="172" xfId="0" applyAlignment="1" applyBorder="1" applyFont="1" applyNumberFormat="1">
      <alignment horizontal="center" shrinkToFit="0" vertical="center" wrapText="1"/>
    </xf>
    <xf borderId="3" fillId="23" fontId="20" numFmtId="171" xfId="0" applyAlignment="1" applyBorder="1" applyFont="1" applyNumberFormat="1">
      <alignment horizontal="center" readingOrder="0" shrinkToFit="0" vertical="center" wrapText="1"/>
    </xf>
    <xf borderId="3" fillId="23" fontId="20" numFmtId="173" xfId="0" applyAlignment="1" applyBorder="1" applyFont="1" applyNumberFormat="1">
      <alignment horizontal="center" shrinkToFit="0" vertical="center" wrapText="1"/>
    </xf>
    <xf borderId="3" fillId="24" fontId="3" numFmtId="171" xfId="0" applyAlignment="1" applyBorder="1" applyFill="1" applyFont="1" applyNumberFormat="1">
      <alignment horizontal="center" shrinkToFit="0" vertical="center" wrapText="1"/>
    </xf>
    <xf borderId="3" fillId="25" fontId="20" numFmtId="171" xfId="0" applyAlignment="1" applyBorder="1" applyFill="1" applyFont="1" applyNumberFormat="1">
      <alignment horizontal="center" shrinkToFit="0" vertical="center" wrapText="1"/>
    </xf>
    <xf borderId="3" fillId="12" fontId="3" numFmtId="171" xfId="0" applyAlignment="1" applyBorder="1" applyFont="1" applyNumberFormat="1">
      <alignment horizontal="center" readingOrder="0" shrinkToFit="0" vertical="center" wrapText="1"/>
    </xf>
    <xf borderId="0" fillId="0" fontId="0" numFmtId="171" xfId="0" applyFont="1" applyNumberFormat="1"/>
    <xf borderId="3" fillId="0" fontId="0" numFmtId="171" xfId="0" applyBorder="1" applyFont="1" applyNumberFormat="1"/>
    <xf borderId="3" fillId="0" fontId="0" numFmtId="175" xfId="0" applyAlignment="1" applyBorder="1" applyFont="1" applyNumberFormat="1">
      <alignment readingOrder="0"/>
    </xf>
    <xf borderId="3" fillId="0" fontId="0" numFmtId="175" xfId="0" applyBorder="1" applyFont="1" applyNumberFormat="1"/>
    <xf borderId="0" fillId="0" fontId="2" numFmtId="0" xfId="0" applyAlignment="1" applyFont="1">
      <alignment readingOrder="0"/>
    </xf>
    <xf borderId="0" fillId="0" fontId="2" numFmtId="175" xfId="0" applyFont="1" applyNumberFormat="1"/>
    <xf borderId="0" fillId="26" fontId="20" numFmtId="171" xfId="0" applyAlignment="1" applyFill="1" applyFont="1" applyNumberFormat="1">
      <alignment horizontal="center" shrinkToFit="0" vertical="center" wrapText="1"/>
    </xf>
    <xf borderId="3" fillId="26" fontId="20" numFmtId="171" xfId="0" applyAlignment="1" applyBorder="1" applyFont="1" applyNumberFormat="1">
      <alignment horizontal="center" shrinkToFit="0" vertical="center" wrapText="1"/>
    </xf>
    <xf borderId="3" fillId="26" fontId="20" numFmtId="172" xfId="0" applyAlignment="1" applyBorder="1" applyFont="1" applyNumberFormat="1">
      <alignment horizontal="center" shrinkToFit="0" vertical="center" wrapText="1"/>
    </xf>
    <xf borderId="3" fillId="26" fontId="20" numFmtId="171" xfId="0" applyAlignment="1" applyBorder="1" applyFont="1" applyNumberFormat="1">
      <alignment horizontal="center" readingOrder="0" shrinkToFit="0" vertical="center" wrapText="1"/>
    </xf>
    <xf borderId="3" fillId="26" fontId="20" numFmtId="173" xfId="0" applyAlignment="1" applyBorder="1" applyFont="1" applyNumberFormat="1">
      <alignment horizontal="center" shrinkToFit="0" vertical="center" wrapText="1"/>
    </xf>
    <xf borderId="3" fillId="0" fontId="0" numFmtId="171" xfId="0" applyAlignment="1" applyBorder="1" applyFont="1" applyNumberFormat="1">
      <alignment horizontal="right" shrinkToFit="0" wrapText="1"/>
    </xf>
    <xf borderId="0" fillId="0" fontId="0" numFmtId="0" xfId="0" applyFont="1"/>
    <xf borderId="0" fillId="0" fontId="0" numFmtId="179" xfId="0" applyFont="1" applyNumberFormat="1"/>
    <xf borderId="3" fillId="11" fontId="0" numFmtId="180" xfId="0" applyBorder="1" applyFont="1" applyNumberFormat="1"/>
    <xf borderId="0" fillId="0" fontId="20" numFmtId="0" xfId="0" applyAlignment="1" applyFont="1">
      <alignment readingOrder="0"/>
    </xf>
    <xf borderId="3" fillId="0" fontId="0" numFmtId="0" xfId="0" applyBorder="1" applyFont="1"/>
    <xf borderId="3" fillId="0" fontId="0" numFmtId="0" xfId="0" applyAlignment="1" applyBorder="1" applyFont="1">
      <alignment readingOrder="0"/>
    </xf>
    <xf borderId="3" fillId="0" fontId="0" numFmtId="181" xfId="0" applyBorder="1" applyFont="1" applyNumberFormat="1"/>
    <xf borderId="3" fillId="0" fontId="0" numFmtId="10" xfId="0" applyAlignment="1" applyBorder="1" applyFont="1" applyNumberFormat="1">
      <alignment readingOrder="0"/>
    </xf>
    <xf borderId="3" fillId="0" fontId="0" numFmtId="10" xfId="0" applyBorder="1" applyFont="1" applyNumberFormat="1"/>
    <xf borderId="0" fillId="0" fontId="0" numFmtId="179" xfId="0" applyAlignment="1" applyFont="1" applyNumberFormat="1">
      <alignment readingOrder="0"/>
    </xf>
    <xf borderId="0" fillId="0" fontId="1" numFmtId="180" xfId="0" applyAlignment="1" applyFont="1" applyNumberFormat="1">
      <alignment horizontal="center" shrinkToFit="0" wrapText="1"/>
    </xf>
    <xf borderId="18" fillId="27" fontId="21" numFmtId="0" xfId="0" applyAlignment="1" applyBorder="1" applyFill="1" applyFont="1">
      <alignment horizontal="center" vertical="center"/>
    </xf>
    <xf borderId="19" fillId="0" fontId="16" numFmtId="0" xfId="0" applyBorder="1" applyFont="1"/>
    <xf borderId="17" fillId="0" fontId="16" numFmtId="0" xfId="0" applyBorder="1" applyFont="1"/>
    <xf borderId="18" fillId="0" fontId="5" numFmtId="0" xfId="0" applyAlignment="1" applyBorder="1" applyFont="1">
      <alignment horizontal="center" vertical="center"/>
    </xf>
    <xf borderId="20" fillId="0" fontId="16" numFmtId="0" xfId="0" applyBorder="1" applyFont="1"/>
    <xf borderId="21" fillId="0" fontId="16" numFmtId="0" xfId="0" applyBorder="1" applyFont="1"/>
    <xf borderId="10" fillId="28" fontId="5" numFmtId="0" xfId="0" applyAlignment="1" applyBorder="1" applyFill="1" applyFont="1">
      <alignment vertical="center"/>
    </xf>
    <xf borderId="3" fillId="0" fontId="5" numFmtId="0" xfId="0" applyAlignment="1" applyBorder="1" applyFont="1">
      <alignment horizontal="left" readingOrder="0" vertical="center"/>
    </xf>
    <xf borderId="0" fillId="0" fontId="1" numFmtId="0" xfId="0" applyFont="1"/>
    <xf borderId="10" fillId="28" fontId="5" numFmtId="0" xfId="0" applyAlignment="1" applyBorder="1" applyFont="1">
      <alignment readingOrder="0" vertical="center"/>
    </xf>
    <xf borderId="0" fillId="0" fontId="2" numFmtId="182" xfId="0" applyAlignment="1" applyFont="1" applyNumberFormat="1">
      <alignment horizontal="left" readingOrder="0" shrinkToFit="0" vertical="center" wrapText="1"/>
    </xf>
    <xf borderId="10" fillId="27" fontId="22" numFmtId="0" xfId="0" applyAlignment="1" applyBorder="1" applyFont="1">
      <alignment horizontal="center" vertical="center"/>
    </xf>
    <xf borderId="3" fillId="0" fontId="5" numFmtId="49" xfId="0" applyAlignment="1" applyBorder="1" applyFont="1" applyNumberFormat="1">
      <alignment horizontal="left" readingOrder="0" vertical="center"/>
    </xf>
    <xf borderId="3" fillId="0" fontId="5" numFmtId="0" xfId="0" applyAlignment="1" applyBorder="1" applyFont="1">
      <alignment horizontal="left" vertical="center"/>
    </xf>
    <xf borderId="22" fillId="0" fontId="16" numFmtId="0" xfId="0" applyBorder="1" applyFont="1"/>
    <xf borderId="23" fillId="0" fontId="16" numFmtId="0" xfId="0" applyBorder="1" applyFont="1"/>
    <xf borderId="3" fillId="28" fontId="5" numFmtId="0" xfId="0" applyAlignment="1" applyBorder="1" applyFont="1">
      <alignment vertical="center"/>
    </xf>
    <xf borderId="3" fillId="0" fontId="5" numFmtId="2" xfId="0" applyAlignment="1" applyBorder="1" applyFont="1" applyNumberFormat="1">
      <alignment horizontal="left" vertical="center"/>
    </xf>
    <xf borderId="24" fillId="28" fontId="5" numFmtId="0" xfId="0" applyAlignment="1" applyBorder="1" applyFont="1">
      <alignment horizontal="left" shrinkToFit="0" vertical="center" wrapText="1"/>
    </xf>
    <xf borderId="2" fillId="0" fontId="5" numFmtId="1" xfId="0" applyAlignment="1" applyBorder="1" applyFont="1" applyNumberFormat="1">
      <alignment horizontal="left" vertical="center"/>
    </xf>
    <xf borderId="10" fillId="27" fontId="5" numFmtId="0" xfId="0" applyAlignment="1" applyBorder="1" applyFont="1">
      <alignment horizontal="center" vertical="center"/>
    </xf>
    <xf borderId="25" fillId="0" fontId="16" numFmtId="0" xfId="0" applyBorder="1" applyFont="1"/>
    <xf borderId="26" fillId="27" fontId="5" numFmtId="0" xfId="0" applyAlignment="1" applyBorder="1" applyFont="1">
      <alignment horizontal="center" vertical="center"/>
    </xf>
    <xf borderId="10" fillId="0" fontId="5" numFmtId="0" xfId="0" applyAlignment="1" applyBorder="1" applyFont="1">
      <alignment vertical="center"/>
    </xf>
    <xf borderId="10" fillId="0" fontId="5" numFmtId="171" xfId="0" applyAlignment="1" applyBorder="1" applyFont="1" applyNumberFormat="1">
      <alignment horizontal="center" vertical="center"/>
    </xf>
    <xf borderId="10" fillId="0" fontId="2" numFmtId="0" xfId="0" applyBorder="1" applyFont="1"/>
    <xf borderId="0" fillId="5" fontId="5" numFmtId="0" xfId="0" applyAlignment="1" applyFont="1">
      <alignment horizontal="left" readingOrder="0"/>
    </xf>
    <xf borderId="10" fillId="0" fontId="5" numFmtId="171" xfId="0" applyAlignment="1" applyBorder="1" applyFont="1" applyNumberFormat="1">
      <alignment horizontal="center" shrinkToFit="0" vertical="center" wrapText="1"/>
    </xf>
    <xf borderId="10" fillId="0" fontId="5" numFmtId="0" xfId="0" applyAlignment="1" applyBorder="1" applyFont="1">
      <alignment readingOrder="0" vertical="center"/>
    </xf>
    <xf borderId="10" fillId="0" fontId="5" numFmtId="171" xfId="0" applyAlignment="1" applyBorder="1" applyFont="1" applyNumberFormat="1">
      <alignment horizontal="center" readingOrder="0" vertical="center"/>
    </xf>
    <xf borderId="10" fillId="29" fontId="23" numFmtId="0" xfId="0" applyAlignment="1" applyBorder="1" applyFill="1" applyFont="1">
      <alignment readingOrder="0" vertical="center"/>
    </xf>
    <xf borderId="3" fillId="29" fontId="23" numFmtId="0" xfId="0" applyAlignment="1" applyBorder="1" applyFont="1">
      <alignment horizontal="left" readingOrder="0" vertical="center"/>
    </xf>
    <xf borderId="10" fillId="29" fontId="23" numFmtId="171" xfId="0" applyAlignment="1" applyBorder="1" applyFont="1" applyNumberFormat="1">
      <alignment horizontal="center" vertical="center"/>
    </xf>
    <xf borderId="10" fillId="0" fontId="2" numFmtId="0" xfId="0" applyAlignment="1" applyBorder="1" applyFont="1">
      <alignment readingOrder="0"/>
    </xf>
    <xf borderId="3" fillId="0" fontId="9" numFmtId="0" xfId="0" applyAlignment="1" applyBorder="1" applyFont="1">
      <alignment horizontal="left" readingOrder="0" vertical="center"/>
    </xf>
    <xf borderId="10" fillId="0" fontId="24" numFmtId="171" xfId="0" applyAlignment="1" applyBorder="1" applyFont="1" applyNumberFormat="1">
      <alignment horizontal="center" readingOrder="0" vertical="center"/>
    </xf>
    <xf borderId="18" fillId="0" fontId="25" numFmtId="0" xfId="0" applyAlignment="1" applyBorder="1" applyFont="1">
      <alignment horizontal="center" readingOrder="0" shrinkToFit="0" vertical="center" wrapText="1"/>
    </xf>
    <xf borderId="3" fillId="0" fontId="5" numFmtId="171" xfId="0" applyAlignment="1" applyBorder="1" applyFont="1" applyNumberFormat="1">
      <alignment horizontal="center" readingOrder="0" shrinkToFit="0" vertical="center" wrapText="1"/>
    </xf>
    <xf borderId="3" fillId="0" fontId="23" numFmtId="171" xfId="0" applyAlignment="1" applyBorder="1" applyFont="1" applyNumberFormat="1">
      <alignment horizontal="center" readingOrder="0" shrinkToFit="0" vertical="center" wrapText="1"/>
    </xf>
    <xf borderId="27" fillId="0" fontId="16" numFmtId="0" xfId="0" applyBorder="1" applyFont="1"/>
    <xf borderId="3" fillId="0" fontId="2" numFmtId="168" xfId="0" applyBorder="1" applyFont="1" applyNumberFormat="1"/>
    <xf borderId="3" fillId="0" fontId="2" numFmtId="171" xfId="0" applyBorder="1" applyFont="1" applyNumberFormat="1"/>
    <xf borderId="10" fillId="0" fontId="5" numFmtId="0" xfId="0" applyAlignment="1" applyBorder="1" applyFont="1">
      <alignment horizontal="right" readingOrder="0" vertical="center"/>
    </xf>
    <xf borderId="3" fillId="0" fontId="5" numFmtId="171" xfId="0" applyAlignment="1" applyBorder="1" applyFont="1" applyNumberFormat="1">
      <alignment horizontal="center" vertical="center"/>
    </xf>
    <xf borderId="10" fillId="27" fontId="26" numFmtId="0" xfId="0" applyAlignment="1" applyBorder="1" applyFont="1">
      <alignment horizontal="center" shrinkToFit="0" vertical="center" wrapText="1"/>
    </xf>
    <xf borderId="10" fillId="0" fontId="25" numFmtId="0" xfId="0" applyAlignment="1" applyBorder="1" applyFont="1">
      <alignment horizontal="center" vertical="center"/>
    </xf>
    <xf borderId="3" fillId="0" fontId="5" numFmtId="10" xfId="0" applyAlignment="1" applyBorder="1" applyFont="1" applyNumberFormat="1">
      <alignment horizontal="center" readingOrder="0" shrinkToFit="0" vertical="center" wrapText="1"/>
    </xf>
    <xf borderId="3" fillId="0" fontId="5" numFmtId="166" xfId="0" applyAlignment="1" applyBorder="1" applyFont="1" applyNumberFormat="1">
      <alignment horizontal="center" readingOrder="0" shrinkToFit="0" vertical="center" wrapText="1"/>
    </xf>
    <xf borderId="10" fillId="5" fontId="24" numFmtId="0" xfId="0" applyAlignment="1" applyBorder="1" applyFont="1">
      <alignment horizontal="center" readingOrder="0" shrinkToFit="0" vertical="center" wrapText="1"/>
    </xf>
    <xf borderId="10" fillId="0" fontId="18" numFmtId="0" xfId="0" applyAlignment="1" applyBorder="1" applyFont="1">
      <alignment horizontal="center" readingOrder="0" shrinkToFit="0" vertical="center" wrapText="1"/>
    </xf>
    <xf borderId="10" fillId="0" fontId="18" numFmtId="0" xfId="0" applyAlignment="1" applyBorder="1" applyFont="1">
      <alignment horizontal="center" shrinkToFit="0" vertical="center" wrapText="1"/>
    </xf>
    <xf borderId="10" fillId="0" fontId="18" numFmtId="0" xfId="0" applyAlignment="1" applyBorder="1" applyFont="1">
      <alignment horizontal="center" readingOrder="0" vertical="center"/>
    </xf>
    <xf borderId="10" fillId="0" fontId="24" numFmtId="0" xfId="0" applyAlignment="1" applyBorder="1" applyFont="1">
      <alignment horizontal="center" readingOrder="0" shrinkToFit="0" vertical="center" wrapText="1"/>
    </xf>
    <xf borderId="18" fillId="0" fontId="27" numFmtId="0" xfId="0" applyAlignment="1" applyBorder="1" applyFont="1">
      <alignment horizontal="center" readingOrder="0" shrinkToFit="0" vertical="center" wrapText="1"/>
    </xf>
    <xf borderId="3" fillId="27" fontId="5" numFmtId="0" xfId="0" applyAlignment="1" applyBorder="1" applyFont="1">
      <alignment horizontal="center" readingOrder="0" shrinkToFit="0" vertical="center" wrapText="1"/>
    </xf>
    <xf borderId="3" fillId="27" fontId="5" numFmtId="0" xfId="0" applyAlignment="1" applyBorder="1" applyFont="1">
      <alignment horizontal="center" shrinkToFit="0" vertical="center" wrapText="1"/>
    </xf>
    <xf borderId="3" fillId="0" fontId="28"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0" fontId="2" numFmtId="1" xfId="0" applyAlignment="1" applyBorder="1" applyFont="1" applyNumberFormat="1">
      <alignment horizontal="center" shrinkToFit="0" vertical="center" wrapText="1"/>
    </xf>
    <xf borderId="3" fillId="0" fontId="2" numFmtId="0" xfId="0" applyAlignment="1" applyBorder="1" applyFont="1">
      <alignment horizontal="center" shrinkToFit="0" vertical="center" wrapText="1"/>
    </xf>
    <xf borderId="4" fillId="0" fontId="2" numFmtId="166" xfId="0" applyAlignment="1" applyBorder="1" applyFont="1" applyNumberFormat="1">
      <alignment horizontal="center" shrinkToFit="0" vertical="center" wrapText="1"/>
    </xf>
    <xf borderId="3" fillId="0" fontId="2" numFmtId="166" xfId="0" applyAlignment="1" applyBorder="1" applyFont="1" applyNumberFormat="1">
      <alignment horizontal="center" shrinkToFit="0" vertical="center" wrapText="1"/>
    </xf>
    <xf borderId="10" fillId="0" fontId="12" numFmtId="0" xfId="0" applyAlignment="1" applyBorder="1" applyFont="1">
      <alignment horizontal="right" readingOrder="0"/>
    </xf>
    <xf borderId="10" fillId="0" fontId="5" numFmtId="0" xfId="0" applyAlignment="1" applyBorder="1" applyFont="1">
      <alignment horizontal="right" vertical="center"/>
    </xf>
    <xf borderId="10" fillId="0" fontId="25" numFmtId="0" xfId="0" applyAlignment="1" applyBorder="1" applyFont="1">
      <alignment horizontal="center" readingOrder="0" vertical="center"/>
    </xf>
    <xf borderId="3" fillId="27" fontId="23" numFmtId="0" xfId="0" applyAlignment="1" applyBorder="1" applyFont="1">
      <alignment horizontal="center" readingOrder="0" shrinkToFit="0" vertical="center" wrapText="1"/>
    </xf>
    <xf borderId="3" fillId="27" fontId="23" numFmtId="0" xfId="0" applyAlignment="1" applyBorder="1" applyFont="1">
      <alignment horizontal="center" shrinkToFit="0" vertical="center" wrapText="1"/>
    </xf>
    <xf borderId="18" fillId="0" fontId="5" numFmtId="0" xfId="0" applyAlignment="1" applyBorder="1" applyFont="1">
      <alignment vertical="center"/>
    </xf>
    <xf borderId="10" fillId="27" fontId="29" numFmtId="0" xfId="0" applyAlignment="1" applyBorder="1" applyFont="1">
      <alignment horizontal="center" vertical="center"/>
    </xf>
    <xf borderId="0" fillId="0" fontId="1" numFmtId="0" xfId="0" applyAlignment="1" applyFont="1">
      <alignment readingOrder="0"/>
    </xf>
    <xf borderId="3" fillId="0" fontId="5" numFmtId="2" xfId="0" applyAlignment="1" applyBorder="1" applyFont="1" applyNumberFormat="1">
      <alignment horizontal="left" readingOrder="0" vertical="center"/>
    </xf>
    <xf borderId="2" fillId="0" fontId="5" numFmtId="1" xfId="0" applyAlignment="1" applyBorder="1" applyFont="1" applyNumberFormat="1">
      <alignment horizontal="left" readingOrder="0" vertical="center"/>
    </xf>
    <xf borderId="18" fillId="27" fontId="5" numFmtId="0" xfId="0" applyAlignment="1" applyBorder="1" applyFont="1">
      <alignment horizontal="center" vertical="center"/>
    </xf>
    <xf borderId="10" fillId="0" fontId="5" numFmtId="0" xfId="0" applyAlignment="1" applyBorder="1" applyFont="1">
      <alignment horizontal="left" readingOrder="0" vertical="center"/>
    </xf>
    <xf borderId="10" fillId="0" fontId="11" numFmtId="0" xfId="0" applyBorder="1" applyFont="1"/>
    <xf borderId="22" fillId="0" fontId="5" numFmtId="171" xfId="0" applyAlignment="1" applyBorder="1" applyFont="1" applyNumberFormat="1">
      <alignment horizontal="center" vertical="center"/>
    </xf>
    <xf borderId="10" fillId="0" fontId="23" numFmtId="0" xfId="0" applyAlignment="1" applyBorder="1" applyFont="1">
      <alignment horizontal="right" vertical="center"/>
    </xf>
    <xf borderId="3" fillId="0" fontId="23" numFmtId="171" xfId="0" applyAlignment="1" applyBorder="1" applyFont="1" applyNumberFormat="1">
      <alignment horizontal="center" vertical="center"/>
    </xf>
    <xf borderId="10" fillId="27" fontId="26" numFmtId="0" xfId="0" applyAlignment="1" applyBorder="1" applyFont="1">
      <alignment horizontal="center" vertical="center"/>
    </xf>
    <xf borderId="3" fillId="0" fontId="5" numFmtId="168" xfId="0" applyAlignment="1" applyBorder="1" applyFont="1" applyNumberFormat="1">
      <alignment horizontal="center" vertical="center"/>
    </xf>
    <xf borderId="0" fillId="0" fontId="2" numFmtId="0" xfId="0" applyAlignment="1" applyFont="1">
      <alignment vertical="center"/>
    </xf>
    <xf borderId="3" fillId="0" fontId="5" numFmtId="0" xfId="0" applyAlignment="1" applyBorder="1" applyFont="1">
      <alignment horizontal="left" readingOrder="0" shrinkToFit="0" vertical="center" wrapText="1"/>
    </xf>
    <xf borderId="10" fillId="0" fontId="5" numFmtId="0" xfId="0" applyAlignment="1" applyBorder="1" applyFont="1">
      <alignment horizontal="left" readingOrder="0" shrinkToFit="0" vertical="center" wrapText="1"/>
    </xf>
    <xf borderId="3" fillId="0" fontId="5" numFmtId="10" xfId="0" applyAlignment="1" applyBorder="1" applyFont="1" applyNumberFormat="1">
      <alignment horizontal="left" readingOrder="0" shrinkToFit="0" vertical="center" wrapText="1"/>
    </xf>
    <xf borderId="3" fillId="0" fontId="5" numFmtId="171" xfId="0" applyAlignment="1" applyBorder="1" applyFont="1" applyNumberFormat="1">
      <alignment horizontal="left" readingOrder="0" shrinkToFit="0" vertical="center" wrapText="1"/>
    </xf>
    <xf borderId="10" fillId="0" fontId="2" numFmtId="0" xfId="0" applyAlignment="1" applyBorder="1" applyFont="1">
      <alignment horizontal="left" shrinkToFit="0" vertical="center" wrapText="1"/>
    </xf>
    <xf borderId="21" fillId="0" fontId="1" numFmtId="0" xfId="0" applyAlignment="1" applyBorder="1" applyFont="1">
      <alignment vertical="bottom"/>
    </xf>
    <xf borderId="16" fillId="0" fontId="11" numFmtId="0" xfId="0" applyAlignment="1" applyBorder="1" applyFont="1">
      <alignment shrinkToFit="0" wrapText="1"/>
    </xf>
    <xf borderId="10" fillId="0" fontId="2" numFmtId="0" xfId="0" applyAlignment="1" applyBorder="1" applyFont="1">
      <alignment horizontal="left" readingOrder="0" shrinkToFit="0" vertical="center" wrapText="1"/>
    </xf>
    <xf borderId="10" fillId="0" fontId="5" numFmtId="0" xfId="0" applyAlignment="1" applyBorder="1" applyFont="1">
      <alignment horizontal="center" readingOrder="0" shrinkToFit="0" vertical="center" wrapText="1"/>
    </xf>
    <xf borderId="10" fillId="0" fontId="2" numFmtId="0" xfId="0" applyAlignment="1" applyBorder="1" applyFont="1">
      <alignment horizontal="center" shrinkToFit="0" vertical="center" wrapText="1"/>
    </xf>
    <xf borderId="0" fillId="0" fontId="5" numFmtId="0" xfId="0" applyAlignment="1" applyFont="1">
      <alignment readingOrder="0"/>
    </xf>
    <xf borderId="3" fillId="0" fontId="5" numFmtId="0" xfId="0" applyBorder="1" applyFont="1"/>
    <xf borderId="3" fillId="5" fontId="5" numFmtId="0" xfId="0" applyAlignment="1" applyBorder="1" applyFont="1">
      <alignment vertical="bottom"/>
    </xf>
    <xf borderId="3" fillId="5" fontId="5" numFmtId="0" xfId="0" applyBorder="1" applyFont="1"/>
    <xf borderId="10" fillId="5" fontId="5" numFmtId="171" xfId="0" applyAlignment="1" applyBorder="1" applyFont="1" applyNumberFormat="1">
      <alignment horizontal="center" vertical="center"/>
    </xf>
    <xf borderId="0" fillId="5" fontId="2" numFmtId="0" xfId="0" applyFont="1"/>
    <xf borderId="0" fillId="5" fontId="2" numFmtId="0" xfId="0" applyAlignment="1" applyFont="1">
      <alignment readingOrder="0"/>
    </xf>
    <xf borderId="3" fillId="5" fontId="1" numFmtId="0" xfId="0" applyAlignment="1" applyBorder="1" applyFont="1">
      <alignment readingOrder="0" vertical="bottom"/>
    </xf>
    <xf borderId="3" fillId="5" fontId="5" numFmtId="0" xfId="0" applyBorder="1" applyFont="1"/>
    <xf borderId="10" fillId="29" fontId="5" numFmtId="0" xfId="0" applyAlignment="1" applyBorder="1" applyFont="1">
      <alignment readingOrder="0" vertical="center"/>
    </xf>
    <xf borderId="3" fillId="29" fontId="23" numFmtId="0" xfId="0" applyAlignment="1" applyBorder="1" applyFont="1">
      <alignment readingOrder="0" vertical="center"/>
    </xf>
    <xf borderId="3" fillId="0" fontId="5" numFmtId="0" xfId="0" applyAlignment="1" applyBorder="1" applyFont="1">
      <alignment readingOrder="0"/>
    </xf>
    <xf borderId="3" fillId="0" fontId="9" numFmtId="0" xfId="0" applyAlignment="1" applyBorder="1" applyFont="1">
      <alignment readingOrder="0" vertical="center"/>
    </xf>
    <xf borderId="18" fillId="0" fontId="30" numFmtId="0" xfId="0" applyAlignment="1" applyBorder="1" applyFont="1">
      <alignment horizontal="center" readingOrder="0" shrinkToFit="0" vertical="center" wrapText="1"/>
    </xf>
    <xf borderId="10" fillId="0" fontId="23" numFmtId="0" xfId="0" applyAlignment="1" applyBorder="1" applyFont="1">
      <alignment horizontal="left" readingOrder="0" shrinkToFit="0" vertical="center" wrapText="1"/>
    </xf>
    <xf borderId="3" fillId="0" fontId="5" numFmtId="166" xfId="0" applyAlignment="1" applyBorder="1" applyFont="1" applyNumberFormat="1">
      <alignment horizontal="left" readingOrder="0" shrinkToFit="0" vertical="center" wrapText="1"/>
    </xf>
    <xf borderId="10" fillId="0" fontId="18" numFmtId="0" xfId="0" applyAlignment="1" applyBorder="1" applyFont="1">
      <alignment horizontal="left" readingOrder="0" shrinkToFit="0" vertical="center" wrapText="1"/>
    </xf>
    <xf borderId="3" fillId="0" fontId="28" numFmtId="0" xfId="0" applyAlignment="1" applyBorder="1" applyFont="1">
      <alignment shrinkToFit="0" vertical="center" wrapText="1"/>
    </xf>
    <xf borderId="10" fillId="0" fontId="2" numFmtId="0" xfId="0" applyAlignment="1" applyBorder="1" applyFont="1">
      <alignment horizontal="right" readingOrder="0"/>
    </xf>
    <xf borderId="3" fillId="0" fontId="12" numFmtId="166" xfId="0" applyAlignment="1" applyBorder="1" applyFont="1" applyNumberFormat="1">
      <alignment horizontal="center" shrinkToFit="0" vertical="center" wrapText="1"/>
    </xf>
    <xf borderId="3" fillId="0" fontId="0" numFmtId="182" xfId="0" applyAlignment="1" applyBorder="1" applyFont="1" applyNumberFormat="1">
      <alignment horizontal="left" readingOrder="0" shrinkToFit="0" vertical="center" wrapText="1"/>
    </xf>
    <xf borderId="0" fillId="0" fontId="0" numFmtId="182" xfId="0" applyAlignment="1" applyFont="1" applyNumberFormat="1">
      <alignment horizontal="left" readingOrder="0" shrinkToFit="0" vertical="center" wrapText="1"/>
    </xf>
    <xf borderId="3" fillId="28" fontId="5" numFmtId="0" xfId="0" applyAlignment="1" applyBorder="1" applyFont="1">
      <alignment readingOrder="0" vertical="center"/>
    </xf>
    <xf borderId="3" fillId="0" fontId="5" numFmtId="2" xfId="0" applyAlignment="1" applyBorder="1" applyFont="1" applyNumberFormat="1">
      <alignment horizontal="center" vertical="center"/>
    </xf>
    <xf borderId="2" fillId="0" fontId="5" numFmtId="1" xfId="0" applyAlignment="1" applyBorder="1" applyFont="1" applyNumberFormat="1">
      <alignment horizontal="center" vertical="center"/>
    </xf>
    <xf borderId="0" fillId="0" fontId="20" numFmtId="0" xfId="0" applyAlignment="1" applyFont="1">
      <alignment horizontal="center" readingOrder="0" shrinkToFit="0" vertical="center" wrapText="1"/>
    </xf>
    <xf borderId="0" fillId="0" fontId="23" numFmtId="171" xfId="0" applyAlignment="1" applyFont="1" applyNumberFormat="1">
      <alignment horizontal="center" readingOrder="0" shrinkToFit="0" vertical="center" wrapText="1"/>
    </xf>
    <xf borderId="4" fillId="27" fontId="5" numFmtId="0" xfId="0" applyAlignment="1" applyBorder="1" applyFont="1">
      <alignment horizontal="center" readingOrder="0" vertical="center"/>
    </xf>
    <xf borderId="3" fillId="0" fontId="23" numFmtId="171" xfId="0" applyAlignment="1" applyBorder="1" applyFont="1" applyNumberFormat="1">
      <alignment horizontal="center" readingOrder="0" vertical="center"/>
    </xf>
    <xf borderId="10" fillId="0" fontId="24" numFmtId="0" xfId="0" applyAlignment="1" applyBorder="1" applyFont="1">
      <alignment readingOrder="0" vertical="center"/>
    </xf>
    <xf borderId="3" fillId="0" fontId="24" numFmtId="171" xfId="0" applyAlignment="1" applyBorder="1" applyFont="1" applyNumberFormat="1">
      <alignment horizontal="center" readingOrder="0" vertical="center"/>
    </xf>
    <xf borderId="3" fillId="0" fontId="24" numFmtId="171" xfId="0" applyAlignment="1" applyBorder="1" applyFont="1" applyNumberFormat="1">
      <alignment horizontal="center" vertical="center"/>
    </xf>
    <xf borderId="10" fillId="0" fontId="0" numFmtId="0" xfId="0" applyAlignment="1" applyBorder="1" applyFont="1">
      <alignment readingOrder="0"/>
    </xf>
    <xf borderId="10" fillId="0" fontId="18" numFmtId="0" xfId="0" applyAlignment="1" applyBorder="1" applyFont="1">
      <alignment readingOrder="0"/>
    </xf>
    <xf borderId="0" fillId="0" fontId="0" numFmtId="0" xfId="0" applyFont="1"/>
    <xf borderId="3" fillId="0" fontId="23" numFmtId="0" xfId="0" applyAlignment="1" applyBorder="1" applyFont="1">
      <alignment horizontal="left" readingOrder="0" vertical="center"/>
    </xf>
    <xf borderId="0" fillId="0" fontId="23" numFmtId="171" xfId="0" applyAlignment="1" applyFont="1" applyNumberFormat="1">
      <alignment horizontal="center" readingOrder="0" vertical="center"/>
    </xf>
    <xf borderId="10" fillId="0" fontId="20" numFmtId="0" xfId="0" applyAlignment="1" applyBorder="1" applyFont="1">
      <alignment horizontal="center" readingOrder="0" shrinkToFit="0" vertical="center" wrapText="1"/>
    </xf>
    <xf borderId="3" fillId="0" fontId="0" numFmtId="166" xfId="0" applyBorder="1" applyFont="1" applyNumberFormat="1"/>
    <xf borderId="3" fillId="0" fontId="5" numFmtId="166" xfId="0" applyAlignment="1" applyBorder="1" applyFont="1" applyNumberFormat="1">
      <alignment horizontal="center" vertical="center"/>
    </xf>
    <xf borderId="3" fillId="0" fontId="5" numFmtId="166" xfId="0" applyAlignment="1" applyBorder="1" applyFont="1" applyNumberFormat="1">
      <alignment horizontal="center" readingOrder="0" vertical="center"/>
    </xf>
    <xf borderId="10" fillId="27" fontId="23" numFmtId="0" xfId="0" applyAlignment="1" applyBorder="1" applyFont="1">
      <alignment horizontal="center" readingOrder="0" shrinkToFit="0" vertical="center" wrapText="1"/>
    </xf>
    <xf borderId="10" fillId="5" fontId="5" numFmtId="0" xfId="0" applyAlignment="1" applyBorder="1" applyFont="1">
      <alignment horizontal="center" readingOrder="0" shrinkToFit="0" vertical="center" wrapText="1"/>
    </xf>
    <xf borderId="10" fillId="0" fontId="0" numFmtId="0" xfId="0" applyAlignment="1" applyBorder="1" applyFont="1">
      <alignment horizontal="center" readingOrder="0" shrinkToFit="0" vertical="center" wrapText="1"/>
    </xf>
    <xf borderId="10" fillId="0" fontId="0" numFmtId="0" xfId="0" applyAlignment="1" applyBorder="1" applyFont="1">
      <alignment horizontal="center" readingOrder="0" vertical="center"/>
    </xf>
    <xf borderId="10" fillId="27" fontId="23" numFmtId="171" xfId="0" applyAlignment="1" applyBorder="1" applyFont="1" applyNumberFormat="1">
      <alignment horizontal="center" readingOrder="0" shrinkToFit="0" vertical="center" wrapText="1"/>
    </xf>
    <xf borderId="0" fillId="0" fontId="31" numFmtId="0" xfId="0" applyAlignment="1" applyFont="1">
      <alignment horizontal="center" readingOrder="0" vertical="center"/>
    </xf>
    <xf borderId="3" fillId="0" fontId="2" numFmtId="0" xfId="0" applyAlignment="1" applyBorder="1" applyFont="1">
      <alignment readingOrder="0"/>
    </xf>
    <xf borderId="3" fillId="0" fontId="12" numFmtId="0" xfId="0" applyAlignment="1" applyBorder="1" applyFont="1">
      <alignment readingOrder="0"/>
    </xf>
    <xf borderId="3" fillId="0" fontId="2" numFmtId="0" xfId="0" applyBorder="1" applyFont="1"/>
    <xf borderId="3" fillId="0" fontId="1" numFmtId="2" xfId="0" applyAlignment="1" applyBorder="1" applyFont="1" applyNumberFormat="1">
      <alignment horizontal="center" readingOrder="0"/>
    </xf>
    <xf borderId="3" fillId="18" fontId="2" numFmtId="0" xfId="0" applyAlignment="1" applyBorder="1" applyFont="1">
      <alignment readingOrder="0"/>
    </xf>
    <xf borderId="3" fillId="12" fontId="2" numFmtId="0" xfId="0" applyAlignment="1" applyBorder="1" applyFont="1">
      <alignment readingOrder="0"/>
    </xf>
    <xf borderId="0" fillId="0" fontId="12" numFmtId="0" xfId="0" applyAlignment="1" applyFont="1">
      <alignment readingOrder="0"/>
    </xf>
    <xf borderId="0" fillId="19" fontId="1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readingOrder="0" vertical="center"/>
    </xf>
    <xf borderId="0" fillId="0" fontId="2" numFmtId="168" xfId="0" applyFont="1" applyNumberFormat="1"/>
    <xf borderId="2" fillId="0" fontId="2" numFmtId="168" xfId="0" applyAlignment="1" applyBorder="1" applyFont="1" applyNumberFormat="1">
      <alignment horizontal="center" vertical="center"/>
    </xf>
    <xf borderId="2" fillId="5" fontId="1" numFmtId="164" xfId="0" applyAlignment="1" applyBorder="1" applyFont="1" applyNumberFormat="1">
      <alignment horizontal="center" readingOrder="0" vertical="center"/>
    </xf>
    <xf borderId="5" fillId="0" fontId="16" numFmtId="0" xfId="0" applyBorder="1" applyFont="1"/>
    <xf borderId="0" fillId="18" fontId="2" numFmtId="168" xfId="0" applyFont="1" applyNumberFormat="1"/>
    <xf borderId="0" fillId="20" fontId="12" numFmtId="0" xfId="0" applyAlignment="1" applyFont="1">
      <alignment horizontal="center" readingOrder="0"/>
    </xf>
    <xf borderId="0" fillId="30" fontId="12" numFmtId="0" xfId="0" applyAlignment="1" applyFill="1" applyFont="1">
      <alignment horizontal="center" readingOrder="0"/>
    </xf>
    <xf borderId="0" fillId="31" fontId="12" numFmtId="0" xfId="0" applyAlignment="1" applyFill="1" applyFont="1">
      <alignment horizontal="center" readingOrder="0"/>
    </xf>
    <xf borderId="0" fillId="32" fontId="12" numFmtId="0" xfId="0" applyAlignment="1" applyFill="1" applyFont="1">
      <alignment horizontal="center" readingOrder="0"/>
    </xf>
    <xf borderId="0" fillId="8" fontId="12" numFmtId="0" xfId="0" applyAlignment="1" applyFont="1">
      <alignment horizontal="center" readingOrder="0"/>
    </xf>
    <xf borderId="0" fillId="17" fontId="12" numFmtId="0" xfId="0" applyAlignment="1" applyFont="1">
      <alignment horizontal="center" readingOrder="0"/>
    </xf>
    <xf borderId="0" fillId="33" fontId="12" numFmtId="0" xfId="0" applyAlignment="1" applyFill="1" applyFont="1">
      <alignment horizontal="center" readingOrder="0"/>
    </xf>
    <xf borderId="0" fillId="34" fontId="12" numFmtId="0" xfId="0" applyAlignment="1" applyFill="1" applyFont="1">
      <alignment horizontal="center" readingOrder="0"/>
    </xf>
    <xf borderId="0" fillId="35" fontId="12" numFmtId="0" xfId="0" applyAlignment="1" applyFill="1" applyFont="1">
      <alignment horizontal="center" readingOrder="0"/>
    </xf>
    <xf borderId="0" fillId="36" fontId="12" numFmtId="0" xfId="0" applyAlignment="1" applyFill="1" applyFont="1">
      <alignment horizontal="center" readingOrder="0"/>
    </xf>
    <xf borderId="0" fillId="37" fontId="12" numFmtId="0" xfId="0" applyAlignment="1" applyFill="1" applyFont="1">
      <alignment horizontal="center" readingOrder="0"/>
    </xf>
    <xf borderId="0" fillId="38" fontId="12" numFmtId="0" xfId="0" applyAlignment="1" applyFill="1" applyFont="1">
      <alignment horizontal="center" readingOrder="0"/>
    </xf>
    <xf borderId="0" fillId="39" fontId="12" numFmtId="0" xfId="0" applyAlignment="1" applyFill="1" applyFont="1">
      <alignment horizontal="center" readingOrder="0"/>
    </xf>
    <xf borderId="0" fillId="0" fontId="32" numFmtId="0" xfId="0" applyAlignment="1" applyFont="1">
      <alignment horizontal="center" shrinkToFit="0" vertical="center" wrapText="1"/>
    </xf>
    <xf borderId="0" fillId="0" fontId="32" numFmtId="0" xfId="0" applyAlignment="1" applyFont="1">
      <alignment horizontal="center" readingOrder="0" shrinkToFit="0" vertical="center" wrapText="1"/>
    </xf>
    <xf borderId="0" fillId="8" fontId="32" numFmtId="0" xfId="0" applyAlignment="1" applyFont="1">
      <alignment horizontal="center" shrinkToFit="0" vertical="center" wrapText="1"/>
    </xf>
    <xf borderId="0" fillId="0" fontId="32" numFmtId="0" xfId="0" applyAlignment="1" applyFont="1">
      <alignment horizontal="center" shrinkToFit="0" vertical="center" wrapText="1"/>
    </xf>
    <xf borderId="0" fillId="8" fontId="32" numFmtId="0" xfId="0" applyAlignment="1" applyFont="1">
      <alignment horizontal="center" shrinkToFit="0" vertical="center" wrapText="1"/>
    </xf>
    <xf borderId="0" fillId="0" fontId="32" numFmtId="0" xfId="0" applyAlignment="1" applyFont="1">
      <alignment horizontal="center" shrinkToFit="0" vertical="center" wrapText="1"/>
    </xf>
    <xf borderId="0" fillId="0" fontId="32" numFmtId="183"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33" numFmtId="0" xfId="0" applyFont="1"/>
    <xf borderId="0" fillId="0" fontId="34" numFmtId="0" xfId="0" applyAlignment="1" applyFont="1">
      <alignment readingOrder="0" shrinkToFit="0" vertical="bottom" wrapText="0"/>
    </xf>
    <xf borderId="0" fillId="0" fontId="35" numFmtId="0" xfId="0" applyFont="1"/>
    <xf borderId="0" fillId="5" fontId="36" numFmtId="0" xfId="0" applyAlignment="1" applyFont="1">
      <alignment vertical="bottom"/>
    </xf>
    <xf borderId="0" fillId="0" fontId="2" numFmtId="1" xfId="0" applyFont="1" applyNumberFormat="1"/>
    <xf borderId="0" fillId="0" fontId="37" numFmtId="184" xfId="0" applyFont="1" applyNumberFormat="1"/>
    <xf borderId="0" fillId="0" fontId="2" numFmtId="183" xfId="0" applyFont="1" applyNumberFormat="1"/>
    <xf borderId="0" fillId="0" fontId="2" numFmtId="4" xfId="0" applyFont="1" applyNumberFormat="1"/>
    <xf borderId="0" fillId="0" fontId="0" numFmtId="4" xfId="0" applyFont="1" applyNumberFormat="1"/>
    <xf borderId="0" fillId="0" fontId="38" numFmtId="184" xfId="0" applyFont="1" applyNumberFormat="1"/>
    <xf borderId="0" fillId="0" fontId="2" numFmtId="184" xfId="0" applyFont="1" applyNumberFormat="1"/>
  </cellXfs>
  <cellStyles count="1">
    <cellStyle xfId="0" name="Normal" builtinId="0"/>
  </cellStyles>
  <dxfs count="31">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D966"/>
          <bgColor rgb="FFFFD966"/>
        </patternFill>
      </fill>
      <border/>
    </dxf>
    <dxf>
      <font>
        <color rgb="FF080707"/>
      </font>
      <fill>
        <patternFill patternType="solid">
          <fgColor rgb="FFFF9900"/>
          <bgColor rgb="FFFF9900"/>
        </patternFill>
      </fill>
      <border/>
    </dxf>
    <dxf>
      <font/>
      <fill>
        <patternFill patternType="solid">
          <fgColor rgb="FFFBB03C"/>
          <bgColor rgb="FFFBB03C"/>
        </patternFill>
      </fill>
      <border/>
    </dxf>
    <dxf>
      <font/>
      <fill>
        <patternFill patternType="solid">
          <fgColor rgb="FFFFCC2F"/>
          <bgColor rgb="FFFFCC2F"/>
        </patternFill>
      </fill>
      <border/>
    </dxf>
    <dxf>
      <font/>
      <fill>
        <patternFill patternType="solid">
          <fgColor rgb="FFD5A6BD"/>
          <bgColor rgb="FFD5A6BD"/>
        </patternFill>
      </fill>
      <border/>
    </dxf>
    <dxf>
      <font/>
      <fill>
        <patternFill patternType="solid">
          <fgColor rgb="FFD9D9D9"/>
          <bgColor rgb="FFD9D9D9"/>
        </patternFill>
      </fill>
      <border/>
    </dxf>
    <dxf>
      <font/>
      <fill>
        <patternFill patternType="solid">
          <fgColor rgb="FFC27BA0"/>
          <bgColor rgb="FFC27BA0"/>
        </patternFill>
      </fill>
      <border/>
    </dxf>
    <dxf>
      <font/>
      <fill>
        <patternFill patternType="solid">
          <fgColor rgb="FF8E7CC3"/>
          <bgColor rgb="FF8E7CC3"/>
        </patternFill>
      </fill>
      <border/>
    </dxf>
    <dxf>
      <font/>
      <fill>
        <patternFill patternType="solid">
          <fgColor rgb="FF9FC5E8"/>
          <bgColor rgb="FF9FC5E8"/>
        </patternFill>
      </fill>
      <border/>
    </dxf>
    <dxf>
      <font/>
      <fill>
        <patternFill patternType="solid">
          <fgColor rgb="FF3C78D8"/>
          <bgColor rgb="FF3C78D8"/>
        </patternFill>
      </fill>
      <border/>
    </dxf>
    <dxf>
      <font/>
      <fill>
        <patternFill patternType="solid">
          <fgColor rgb="FFE69138"/>
          <bgColor rgb="FFE69138"/>
        </patternFill>
      </fill>
      <border/>
    </dxf>
    <dxf>
      <font/>
      <fill>
        <patternFill patternType="solid">
          <fgColor rgb="FF6AA84F"/>
          <bgColor rgb="FF6AA84F"/>
        </patternFill>
      </fill>
      <border/>
    </dxf>
    <dxf>
      <font/>
      <fill>
        <patternFill patternType="solid">
          <fgColor rgb="FF9C0006"/>
          <bgColor rgb="FF9C0006"/>
        </patternFill>
      </fill>
      <border/>
    </dxf>
    <dxf>
      <font/>
      <fill>
        <patternFill patternType="solid">
          <fgColor rgb="FFEA9999"/>
          <bgColor rgb="FFEA9999"/>
        </patternFill>
      </fill>
      <border/>
    </dxf>
    <dxf>
      <font/>
      <fill>
        <patternFill patternType="solid">
          <fgColor rgb="FFD0CECE"/>
          <bgColor rgb="FFD0CECE"/>
        </patternFill>
      </fill>
      <border/>
    </dxf>
    <dxf>
      <font/>
      <fill>
        <patternFill patternType="solid">
          <fgColor rgb="FFE06666"/>
          <bgColor rgb="FFE06666"/>
        </patternFill>
      </fill>
      <border/>
    </dxf>
    <dxf>
      <font/>
      <fill>
        <patternFill patternType="solid">
          <fgColor rgb="FFF7981D"/>
          <bgColor rgb="FFF7981D"/>
        </patternFill>
      </fill>
      <border/>
    </dxf>
    <dxf>
      <font/>
      <fill>
        <patternFill patternType="solid">
          <fgColor rgb="FFCCCCCC"/>
          <bgColor rgb="FFCCCCCC"/>
        </patternFill>
      </fill>
      <border/>
    </dxf>
    <dxf>
      <font/>
      <fill>
        <patternFill patternType="solid">
          <fgColor rgb="FFB7E1CD"/>
          <bgColor rgb="FFB7E1CD"/>
        </patternFill>
      </fill>
      <border/>
    </dxf>
    <dxf>
      <font/>
      <fill>
        <patternFill patternType="solid">
          <fgColor rgb="FFFF0000"/>
          <bgColor rgb="FFFF0000"/>
        </patternFill>
      </fill>
      <border/>
    </dxf>
    <dxf>
      <font/>
      <fill>
        <patternFill patternType="solid">
          <fgColor rgb="FFFFC7CE"/>
          <bgColor rgb="FFFFC7CE"/>
        </patternFill>
      </fill>
      <border/>
    </dxf>
    <dxf>
      <font>
        <color rgb="FF9C0006"/>
      </font>
      <fill>
        <patternFill patternType="solid">
          <fgColor rgb="FFFFC7CE"/>
          <bgColor rgb="FFFFC7CE"/>
        </patternFill>
      </fill>
      <border/>
    </dxf>
    <dxf>
      <font/>
      <fill>
        <patternFill patternType="solid">
          <fgColor rgb="FF92D050"/>
          <bgColor rgb="FF92D050"/>
        </patternFill>
      </fill>
      <border/>
    </dxf>
    <dxf>
      <font>
        <color rgb="FF000000"/>
      </font>
      <fill>
        <patternFill patternType="solid">
          <fgColor rgb="FF92D050"/>
          <bgColor rgb="FF92D050"/>
        </patternFill>
      </fill>
      <border/>
    </dxf>
    <dxf>
      <font>
        <color rgb="FF000000"/>
      </font>
      <fill>
        <patternFill patternType="solid">
          <fgColor rgb="FFE06666"/>
          <bgColor rgb="FFE06666"/>
        </patternFill>
      </fill>
      <border/>
    </dxf>
    <dxf>
      <font>
        <b/>
      </font>
      <fill>
        <patternFill patternType="solid">
          <fgColor rgb="FFE06666"/>
          <bgColor rgb="FFE06666"/>
        </patternFill>
      </fill>
      <border/>
    </dxf>
    <dxf>
      <font>
        <b/>
      </font>
      <fill>
        <patternFill patternType="solid">
          <fgColor rgb="FFFFFF00"/>
          <bgColor rgb="FFFFFF00"/>
        </patternFill>
      </fill>
      <border/>
    </dxf>
  </dxfs>
  <tableStyles count="1">
    <tableStyle count="3" pivot="0" name="1.CÁ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8</xdr:row>
      <xdr:rowOff>0</xdr:rowOff>
    </xdr:from>
    <xdr:ext cx="2381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2381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8</xdr:row>
      <xdr:rowOff>0</xdr:rowOff>
    </xdr:from>
    <xdr:ext cx="2381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50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0</xdr:colOff>
      <xdr:row>50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AD9" displayName="Table_1" name="Table_1" id="1">
  <tableColumns count="30">
    <tableColumn name="LINK COTIZADOR" id="1"/>
    <tableColumn name="PROVEEDORES" id="2"/>
    <tableColumn name="PROVEEDORES 2" id="3"/>
    <tableColumn name="MODELO" id="4"/>
    <tableColumn name="FOTO" id="5"/>
    <tableColumn name="LINK DE LA IMAGEN" id="6"/>
    <tableColumn name="DESCRIPCION" id="7"/>
    <tableColumn name="NOMBRE COMERCIAL" id="8"/>
    <tableColumn name="UNIDAD DE MEDIDA" id="9"/>
    <tableColumn name="CANTIDAD x CAJA" id="10"/>
    <tableColumn name="CAJAS" id="11"/>
    <tableColumn name="TOTAL UNIDADES" id="12"/>
    <tableColumn name="PRECIO UNITARIO YUANES" id="13"/>
    <tableColumn name="PRECIO UNITARIO_x000a_USD " id="14"/>
    <tableColumn name="TOTAL USD" id="15"/>
    <tableColumn name="CBM" id="16"/>
    <tableColumn name="CBM TOTAL" id="17"/>
    <tableColumn name="PESO (KG)" id="18"/>
    <tableColumn name="W/M" id="19"/>
    <tableColumn name="FLETE YIWU" id="20"/>
    <tableColumn name="PARTIDA" id="21"/>
    <tableColumn name="TNAN" id="22"/>
    <tableColumn name="ARANCEL (%)" id="23"/>
    <tableColumn name="ARANCEL TLC  (%)" id="24"/>
    <tableColumn name="PERMISOS" id="25"/>
    <tableColumn name="INCREMENTO ICE" id="26"/>
    <tableColumn name="ICE ADVALOREM" id="27"/>
    <tableColumn name="PARTIDA 2" id="28"/>
    <tableColumn name="TNAN 2" id="29"/>
    <tableColumn name="PERMISOS 2" id="30"/>
  </tableColumns>
  <tableStyleInfo name="1.CÁ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uc?export=view&amp;id=1vcrZn_OLPxflHITc9KAVYfonNcP_7xys" TargetMode="External"/><Relationship Id="rId3" Type="http://schemas.openxmlformats.org/officeDocument/2006/relationships/hyperlink" Target="https://drive.google.com/uc?export=view&amp;id=1vcrZn_OLPxflHITc9KAVYfonNcP_7xys" TargetMode="External"/><Relationship Id="rId4" Type="http://schemas.openxmlformats.org/officeDocument/2006/relationships/hyperlink" Target="https://drive.google.com/uc?export=view&amp;id=1vcrZn_OLPxflHITc9KAVYfonNcP_7xys" TargetMode="External"/><Relationship Id="rId5" Type="http://schemas.openxmlformats.org/officeDocument/2006/relationships/drawing" Target="../drawings/drawing1.xml"/><Relationship Id="rId6" Type="http://schemas.openxmlformats.org/officeDocument/2006/relationships/vmlDrawing" Target="../drawings/vmlDrawing1.v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0.86"/>
    <col customWidth="1" hidden="1" min="2" max="2" width="22.57"/>
    <col customWidth="1" min="3" max="3" width="22.57"/>
    <col customWidth="1" min="4" max="4" width="12.86"/>
    <col customWidth="1" min="5" max="5" width="14.43"/>
    <col customWidth="1" min="6" max="6" width="11.71"/>
    <col customWidth="1" min="7" max="7" width="20.0"/>
    <col customWidth="1" min="8" max="8" width="17.86"/>
    <col customWidth="1" min="9" max="9" width="10.86"/>
    <col customWidth="1" min="10" max="10" width="13.71"/>
    <col customWidth="1" min="11" max="11" width="14.14"/>
    <col customWidth="1" min="12" max="13" width="12.86"/>
    <col customWidth="1" min="14" max="14" width="12.29"/>
    <col customWidth="1" min="15" max="15" width="11.14"/>
    <col customWidth="1" min="16" max="16" width="10.14"/>
    <col customWidth="1" min="17" max="17" width="10.57"/>
    <col customWidth="1" min="18" max="18" width="9.43"/>
    <col customWidth="1" min="19" max="19" width="12.71"/>
    <col customWidth="1" min="20" max="20" width="10.0"/>
    <col customWidth="1" min="21" max="21" width="10.14"/>
    <col customWidth="1" min="22" max="22" width="11.57"/>
    <col customWidth="1" min="23" max="23" width="11.71"/>
    <col customWidth="1" min="24" max="24" width="14.57"/>
    <col customWidth="1" min="25" max="25" width="10.86"/>
    <col customWidth="1" min="26" max="26" width="11.43"/>
    <col customWidth="1" min="27" max="28" width="12.43"/>
    <col customWidth="1" min="29" max="29" width="10.71"/>
    <col customWidth="1" min="30" max="30" width="13.71"/>
    <col customWidth="1" min="31" max="31" width="20.43"/>
    <col customWidth="1" min="32" max="32" width="10.43"/>
    <col customWidth="1" min="33" max="33" width="16.86"/>
    <col customWidth="1" min="34" max="34" width="13.0"/>
    <col customWidth="1" min="35" max="38" width="10.71"/>
  </cols>
  <sheetData>
    <row r="1" ht="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2"/>
      <c r="AK1" s="2"/>
      <c r="AL1" s="2"/>
    </row>
    <row r="2">
      <c r="A2" s="3" t="s">
        <v>0</v>
      </c>
      <c r="B2" s="4" t="s">
        <v>1</v>
      </c>
      <c r="C2" s="4" t="s">
        <v>2</v>
      </c>
      <c r="D2" s="5" t="s">
        <v>3</v>
      </c>
      <c r="E2" s="5" t="s">
        <v>4</v>
      </c>
      <c r="F2" s="4" t="s">
        <v>5</v>
      </c>
      <c r="G2" s="5" t="s">
        <v>6</v>
      </c>
      <c r="H2" s="5" t="s">
        <v>7</v>
      </c>
      <c r="I2" s="6" t="s">
        <v>8</v>
      </c>
      <c r="J2" s="4" t="s">
        <v>9</v>
      </c>
      <c r="K2" s="5" t="s">
        <v>10</v>
      </c>
      <c r="L2" s="5" t="s">
        <v>11</v>
      </c>
      <c r="M2" s="4" t="s">
        <v>12</v>
      </c>
      <c r="N2" s="5" t="s">
        <v>13</v>
      </c>
      <c r="O2" s="5" t="s">
        <v>14</v>
      </c>
      <c r="P2" s="5" t="s">
        <v>15</v>
      </c>
      <c r="Q2" s="5" t="s">
        <v>16</v>
      </c>
      <c r="R2" s="4" t="s">
        <v>17</v>
      </c>
      <c r="S2" s="6" t="s">
        <v>18</v>
      </c>
      <c r="T2" s="4" t="s">
        <v>19</v>
      </c>
      <c r="U2" s="5" t="s">
        <v>20</v>
      </c>
      <c r="V2" s="4" t="s">
        <v>21</v>
      </c>
      <c r="W2" s="4" t="s">
        <v>22</v>
      </c>
      <c r="X2" s="7" t="s">
        <v>23</v>
      </c>
      <c r="Y2" s="4" t="s">
        <v>24</v>
      </c>
      <c r="Z2" s="8" t="s">
        <v>25</v>
      </c>
      <c r="AA2" s="8" t="s">
        <v>26</v>
      </c>
      <c r="AB2" s="9" t="s">
        <v>27</v>
      </c>
      <c r="AC2" s="10" t="s">
        <v>28</v>
      </c>
      <c r="AD2" s="10" t="s">
        <v>29</v>
      </c>
      <c r="AE2" s="9" t="s">
        <v>7</v>
      </c>
      <c r="AF2" s="11"/>
      <c r="AG2" s="11"/>
      <c r="AH2" s="11"/>
      <c r="AI2" s="11"/>
      <c r="AJ2" s="2"/>
      <c r="AK2" s="2"/>
      <c r="AL2" s="2"/>
    </row>
    <row r="3">
      <c r="A3" s="12"/>
      <c r="B3" s="12">
        <f>IF(C3="PA",1,IF(C3="PB",2,IF(C3="PC",3,IF(C3="PD",4,IF(C3="PE",5,IF(C3="PF",6,IF(C3="PG",7,IF(C3="PH",8,IF(C3="PI",9,IF(C3="PJ",10,IF(C3="PK",11,IF(C3="PL",12,IF(C3="PM",13,IF(C3="PN",14,IF(C3="PO",15,IF(C3="PP",15,IF(C3="PQ",16,IF(C3="PR",17,0))))))))))))))))))</f>
        <v>1</v>
      </c>
      <c r="C3" s="13" t="s">
        <v>30</v>
      </c>
      <c r="D3" s="14"/>
      <c r="E3" s="12" t="str">
        <f t="shared" ref="E3:E5" si="1">IMAGE(F3)</f>
        <v>#REF!</v>
      </c>
      <c r="F3" s="15" t="s">
        <v>31</v>
      </c>
      <c r="G3" s="12"/>
      <c r="H3" s="12"/>
      <c r="I3" s="16" t="s">
        <v>32</v>
      </c>
      <c r="J3" s="17">
        <v>1.0</v>
      </c>
      <c r="K3" s="18">
        <v>1.0</v>
      </c>
      <c r="L3" s="19">
        <f t="shared" ref="L3:L5" si="2">K3*J3</f>
        <v>1</v>
      </c>
      <c r="M3" s="20"/>
      <c r="N3" s="21"/>
      <c r="O3" s="22">
        <f t="shared" ref="O3:O5" si="3">IF(AND(M3&gt;0,N3&gt;0),FALSE,IF(M3&gt;0,M3*L3/6.65,N3*L3))</f>
        <v>0</v>
      </c>
      <c r="P3" s="23"/>
      <c r="Q3" s="24">
        <f t="shared" ref="Q3:Q5" si="4">P3*K3</f>
        <v>0</v>
      </c>
      <c r="R3" s="24"/>
      <c r="S3" s="25">
        <f t="shared" ref="S3:S5" si="5">IF(R3*2.88/1000&gt;Q3,R3*2.88/1000,Q3)</f>
        <v>0</v>
      </c>
      <c r="T3" s="26"/>
      <c r="U3" s="27"/>
      <c r="V3" s="28" t="s">
        <v>33</v>
      </c>
      <c r="W3" s="29">
        <v>0.3</v>
      </c>
      <c r="X3" s="29">
        <v>0.3</v>
      </c>
      <c r="Y3" s="30" t="s">
        <v>34</v>
      </c>
      <c r="Z3" s="31"/>
      <c r="AA3" s="31"/>
      <c r="AB3" s="32"/>
      <c r="AC3" s="32"/>
      <c r="AD3" s="30" t="s">
        <v>34</v>
      </c>
      <c r="AE3" s="32"/>
      <c r="AF3" s="11"/>
      <c r="AG3" s="11"/>
      <c r="AH3" s="11"/>
      <c r="AI3" s="11"/>
      <c r="AJ3" s="11"/>
      <c r="AK3" s="11"/>
      <c r="AL3" s="11"/>
    </row>
    <row r="4">
      <c r="A4" s="12"/>
      <c r="B4" s="12">
        <f>IF(C4="PA",1,IF(C4="PB",2,IF(C4="PC",3,IF(C4="PD",4,IF(C4="PE",5,IF(C4="PF",6,IF(C4="PG",7,IF(C4="PH",8,IF(C4="PI",9,IF(C3="PJ",10,IF(C3="PK",11,IF(C3="PL",12,IF(C3="PM",13,IF(C3="PN",14,IF(C3="PO",15,IF(C3="PP",15,IF(C3="PQ",16,IF(C3="PR",17,0))))))))))))))))))</f>
        <v>1</v>
      </c>
      <c r="C4" s="13" t="s">
        <v>30</v>
      </c>
      <c r="D4" s="14"/>
      <c r="E4" s="12" t="str">
        <f t="shared" si="1"/>
        <v>#REF!</v>
      </c>
      <c r="F4" s="15" t="s">
        <v>31</v>
      </c>
      <c r="G4" s="33"/>
      <c r="H4" s="12"/>
      <c r="I4" s="16" t="s">
        <v>32</v>
      </c>
      <c r="J4" s="34">
        <v>1.0</v>
      </c>
      <c r="K4" s="19">
        <v>1.0</v>
      </c>
      <c r="L4" s="19">
        <f t="shared" si="2"/>
        <v>1</v>
      </c>
      <c r="M4" s="20"/>
      <c r="N4" s="21"/>
      <c r="O4" s="22">
        <f t="shared" si="3"/>
        <v>0</v>
      </c>
      <c r="P4" s="35"/>
      <c r="Q4" s="24">
        <f t="shared" si="4"/>
        <v>0</v>
      </c>
      <c r="R4" s="36"/>
      <c r="S4" s="25">
        <f t="shared" si="5"/>
        <v>0</v>
      </c>
      <c r="T4" s="26"/>
      <c r="U4" s="37"/>
      <c r="V4" s="38" t="s">
        <v>33</v>
      </c>
      <c r="W4" s="31">
        <v>0.3</v>
      </c>
      <c r="X4" s="31">
        <v>0.3</v>
      </c>
      <c r="Y4" s="30" t="s">
        <v>34</v>
      </c>
      <c r="Z4" s="31"/>
      <c r="AA4" s="31"/>
      <c r="AB4" s="32"/>
      <c r="AC4" s="32"/>
      <c r="AD4" s="30" t="s">
        <v>34</v>
      </c>
      <c r="AE4" s="32"/>
      <c r="AF4" s="11"/>
      <c r="AG4" s="11"/>
      <c r="AH4" s="11"/>
      <c r="AI4" s="11"/>
      <c r="AJ4" s="11"/>
      <c r="AK4" s="11"/>
      <c r="AL4" s="11"/>
    </row>
    <row r="5">
      <c r="A5" s="39"/>
      <c r="B5" s="12">
        <f>IF(C5="PA",1,IF(C5="PB",2,IF(C5="PC",3,IF(C5="PD",4,IF(C5="PE",5,IF(C5="PF",6,IF(C5="PG",7,IF(C5="PH",8,IF(C5="PI",9,IF(C3="PJ",10,IF(C3="PK",11,IF(C3="PL",12,IF(C3="PM",13,IF(C3="PN",14,IF(C3="PO",15,IF(C3="PP",15,IF(C3="PQ",16,IF(C3="PR",17,0))))))))))))))))))</f>
        <v>2</v>
      </c>
      <c r="C5" s="13" t="s">
        <v>35</v>
      </c>
      <c r="D5" s="14"/>
      <c r="E5" s="12" t="str">
        <f t="shared" si="1"/>
        <v>#REF!</v>
      </c>
      <c r="F5" s="15" t="s">
        <v>31</v>
      </c>
      <c r="G5" s="12"/>
      <c r="H5" s="12"/>
      <c r="I5" s="16" t="s">
        <v>32</v>
      </c>
      <c r="J5" s="34">
        <v>1.0</v>
      </c>
      <c r="K5" s="19">
        <v>1.0</v>
      </c>
      <c r="L5" s="19">
        <f t="shared" si="2"/>
        <v>1</v>
      </c>
      <c r="M5" s="20"/>
      <c r="N5" s="21"/>
      <c r="O5" s="22">
        <f t="shared" si="3"/>
        <v>0</v>
      </c>
      <c r="P5" s="35"/>
      <c r="Q5" s="24">
        <f t="shared" si="4"/>
        <v>0</v>
      </c>
      <c r="R5" s="36"/>
      <c r="S5" s="25">
        <f t="shared" si="5"/>
        <v>0</v>
      </c>
      <c r="T5" s="40"/>
      <c r="U5" s="37"/>
      <c r="V5" s="41" t="s">
        <v>33</v>
      </c>
      <c r="W5" s="31">
        <v>0.3</v>
      </c>
      <c r="X5" s="31">
        <v>0.3</v>
      </c>
      <c r="Y5" s="30" t="s">
        <v>34</v>
      </c>
      <c r="Z5" s="31"/>
      <c r="AA5" s="31"/>
      <c r="AB5" s="32"/>
      <c r="AC5" s="32"/>
      <c r="AD5" s="30" t="s">
        <v>34</v>
      </c>
      <c r="AE5" s="32"/>
      <c r="AF5" s="11"/>
      <c r="AG5" s="11"/>
      <c r="AH5" s="11"/>
      <c r="AI5" s="11"/>
      <c r="AJ5" s="11"/>
      <c r="AK5" s="11"/>
      <c r="AL5" s="11"/>
    </row>
    <row r="6">
      <c r="A6" s="42"/>
      <c r="B6" s="43"/>
      <c r="C6" s="43"/>
      <c r="D6" s="11"/>
      <c r="E6" s="44"/>
      <c r="F6" s="44"/>
      <c r="G6" s="44"/>
      <c r="H6" s="11"/>
      <c r="I6" s="11"/>
      <c r="J6" s="11"/>
      <c r="K6" s="45">
        <f>SUM(CAJAS)</f>
        <v>3</v>
      </c>
      <c r="L6" s="46">
        <f t="shared" ref="L6:N6" si="6">SUM(L3:L5)</f>
        <v>3</v>
      </c>
      <c r="M6" s="47">
        <f t="shared" si="6"/>
        <v>0</v>
      </c>
      <c r="N6" s="48">
        <f t="shared" si="6"/>
        <v>0</v>
      </c>
      <c r="O6" s="49">
        <f>SUM(TOTALUSD)</f>
        <v>0</v>
      </c>
      <c r="P6" s="50"/>
      <c r="Q6" s="51">
        <f>SUM(CBMTOTAL)</f>
        <v>0</v>
      </c>
      <c r="R6" s="52">
        <f>SUM(PESO)</f>
        <v>0</v>
      </c>
      <c r="S6" s="53">
        <f>SUM(PVOLUMETRICO)</f>
        <v>0</v>
      </c>
      <c r="T6" s="54">
        <f>SUM(T3:T5)</f>
        <v>0</v>
      </c>
      <c r="U6" s="11"/>
      <c r="V6" s="11"/>
      <c r="W6" s="42"/>
      <c r="X6" s="55"/>
      <c r="Y6" s="55"/>
      <c r="Z6" s="2"/>
      <c r="AA6" s="2"/>
      <c r="AB6" s="11"/>
      <c r="AC6" s="11"/>
      <c r="AD6" s="56"/>
      <c r="AE6" s="42"/>
      <c r="AF6" s="42"/>
      <c r="AG6" s="42"/>
      <c r="AH6" s="42"/>
      <c r="AI6" s="11"/>
      <c r="AJ6" s="11"/>
      <c r="AK6" s="11"/>
      <c r="AL6" s="11"/>
    </row>
    <row r="7">
      <c r="A7" s="56"/>
      <c r="B7" s="57"/>
      <c r="C7" s="57"/>
      <c r="D7" s="56"/>
      <c r="E7" s="58"/>
      <c r="F7" s="58"/>
      <c r="G7" s="59"/>
      <c r="H7" s="60"/>
      <c r="I7" s="60"/>
      <c r="J7" s="60"/>
      <c r="K7" s="61"/>
      <c r="L7" s="62"/>
      <c r="M7" s="62"/>
      <c r="N7" s="56"/>
      <c r="O7" s="63"/>
      <c r="P7" s="56"/>
      <c r="Q7" s="56"/>
      <c r="R7" s="63"/>
      <c r="S7" s="63"/>
      <c r="T7" s="56"/>
      <c r="U7" s="56"/>
      <c r="V7" s="56"/>
      <c r="W7" s="56"/>
      <c r="X7" s="56"/>
      <c r="Y7" s="63"/>
      <c r="Z7" s="56"/>
      <c r="AA7" s="56"/>
      <c r="AB7" s="56"/>
      <c r="AC7" s="56"/>
      <c r="AD7" s="56"/>
      <c r="AE7" s="42"/>
      <c r="AF7" s="42"/>
      <c r="AG7" s="42"/>
      <c r="AH7" s="42"/>
      <c r="AI7" s="42"/>
      <c r="AJ7" s="42"/>
      <c r="AK7" s="42"/>
      <c r="AL7" s="11"/>
    </row>
    <row r="8">
      <c r="A8" s="56"/>
      <c r="B8" s="64"/>
      <c r="C8" s="64"/>
      <c r="D8" s="56"/>
      <c r="E8" s="58"/>
      <c r="F8" s="58"/>
      <c r="G8" s="59"/>
      <c r="H8" s="56"/>
      <c r="I8" s="56"/>
      <c r="J8" s="56"/>
      <c r="K8" s="58"/>
      <c r="L8" s="56"/>
      <c r="M8" s="56"/>
      <c r="N8" s="56"/>
      <c r="O8" s="63"/>
      <c r="P8" s="56"/>
      <c r="Q8" s="56"/>
      <c r="R8" s="63"/>
      <c r="S8" s="63"/>
      <c r="T8" s="56"/>
      <c r="U8" s="56"/>
      <c r="V8" s="56"/>
      <c r="W8" s="56"/>
      <c r="X8" s="56"/>
      <c r="Y8" s="63"/>
      <c r="Z8" s="56"/>
      <c r="AA8" s="56"/>
      <c r="AB8" s="56"/>
      <c r="AC8" s="56"/>
      <c r="AD8" s="56"/>
      <c r="AE8" s="42"/>
      <c r="AF8" s="42"/>
      <c r="AG8" s="42"/>
      <c r="AH8" s="42"/>
      <c r="AI8" s="42"/>
      <c r="AJ8" s="42"/>
      <c r="AK8" s="11"/>
      <c r="AL8" s="11"/>
    </row>
    <row r="9">
      <c r="A9" s="56"/>
      <c r="B9" s="57"/>
      <c r="C9" s="57"/>
      <c r="D9" s="57"/>
      <c r="E9" s="65"/>
      <c r="F9" s="65"/>
      <c r="G9" s="65"/>
      <c r="H9" s="56"/>
      <c r="I9" s="56"/>
      <c r="J9" s="56"/>
      <c r="K9" s="58"/>
      <c r="L9" s="56"/>
      <c r="M9" s="56"/>
      <c r="N9" s="56"/>
      <c r="O9" s="63"/>
      <c r="P9" s="56"/>
      <c r="Q9" s="56"/>
      <c r="R9" s="63"/>
      <c r="S9" s="63"/>
      <c r="T9" s="56"/>
      <c r="U9" s="66"/>
      <c r="V9" s="56"/>
      <c r="W9" s="67"/>
      <c r="X9" s="56"/>
      <c r="Y9" s="68"/>
      <c r="Z9" s="66"/>
      <c r="AA9" s="66"/>
      <c r="AB9" s="66"/>
      <c r="AC9" s="66"/>
      <c r="AD9" s="66"/>
      <c r="AE9" s="2"/>
      <c r="AF9" s="2"/>
      <c r="AG9" s="2"/>
      <c r="AH9" s="2"/>
      <c r="AI9" s="2"/>
      <c r="AJ9" s="2"/>
      <c r="AK9" s="2"/>
      <c r="AL9" s="2"/>
    </row>
    <row r="10" ht="63.0" customHeight="1">
      <c r="A10" s="69" t="s">
        <v>3</v>
      </c>
      <c r="B10" s="70"/>
      <c r="C10" s="70" t="s">
        <v>36</v>
      </c>
      <c r="D10" s="71" t="s">
        <v>37</v>
      </c>
      <c r="E10" s="72" t="s">
        <v>38</v>
      </c>
      <c r="F10" s="70" t="s">
        <v>39</v>
      </c>
      <c r="G10" s="73" t="s">
        <v>40</v>
      </c>
      <c r="H10" s="74" t="s">
        <v>41</v>
      </c>
      <c r="I10" s="70" t="s">
        <v>42</v>
      </c>
      <c r="J10" s="73" t="s">
        <v>43</v>
      </c>
      <c r="K10" s="70" t="s">
        <v>44</v>
      </c>
      <c r="L10" s="73" t="s">
        <v>45</v>
      </c>
      <c r="M10" s="73" t="s">
        <v>46</v>
      </c>
      <c r="N10" s="75" t="s">
        <v>47</v>
      </c>
      <c r="O10" s="75" t="s">
        <v>48</v>
      </c>
      <c r="P10" s="76" t="s">
        <v>49</v>
      </c>
      <c r="Q10" s="77" t="s">
        <v>50</v>
      </c>
      <c r="R10" s="70" t="s">
        <v>51</v>
      </c>
      <c r="S10" s="73" t="s">
        <v>52</v>
      </c>
      <c r="T10" s="70" t="s">
        <v>53</v>
      </c>
      <c r="U10" s="73" t="s">
        <v>54</v>
      </c>
      <c r="V10" s="73" t="s">
        <v>55</v>
      </c>
      <c r="W10" s="78" t="s">
        <v>56</v>
      </c>
      <c r="X10" s="78" t="s">
        <v>57</v>
      </c>
      <c r="Y10" s="79" t="s">
        <v>58</v>
      </c>
      <c r="Z10" s="79" t="s">
        <v>59</v>
      </c>
      <c r="AA10" s="80" t="s">
        <v>60</v>
      </c>
      <c r="AB10" s="80" t="s">
        <v>61</v>
      </c>
      <c r="AC10" s="2"/>
      <c r="AD10" s="2"/>
      <c r="AE10" s="2"/>
      <c r="AF10" s="2"/>
      <c r="AG10" s="2"/>
      <c r="AH10" s="2"/>
      <c r="AI10" s="2"/>
      <c r="AJ10" s="2"/>
      <c r="AK10" s="2"/>
      <c r="AL10" s="2"/>
    </row>
    <row r="11" ht="15.75" customHeight="1">
      <c r="A11" s="81" t="str">
        <f t="shared" ref="A11:A13" si="7">D3</f>
        <v/>
      </c>
      <c r="B11" s="82"/>
      <c r="C11" s="82">
        <f t="shared" ref="C11:C13" si="8">+O3</f>
        <v>0</v>
      </c>
      <c r="D11" s="83" t="str">
        <f t="shared" ref="D11:D13" si="9">$D$14*C11/$C$14</f>
        <v>#DIV/0!</v>
      </c>
      <c r="E11" s="83" t="str">
        <f t="shared" ref="E11:E13" si="10">$E$14*C11/$C$14</f>
        <v>#DIV/0!</v>
      </c>
      <c r="F11" s="82" t="str">
        <f t="shared" ref="F11:F13" si="11">+(C11+D11+E11)*1%</f>
        <v>#DIV/0!</v>
      </c>
      <c r="G11" s="82" t="str">
        <f t="shared" ref="G11:G13" si="12">+IF($D$18=TRUE,((D11+E11+F11+J11+V11)*5%),((C11+D11+E11+F11+H11+J11+V11)*5%))</f>
        <v>#DIV/0!</v>
      </c>
      <c r="H11" s="84" t="str">
        <f t="shared" ref="H11:H13" si="13">T3</f>
        <v/>
      </c>
      <c r="I11" s="82" t="str">
        <f t="shared" ref="I11:I13" si="14">C11*$I$14/$C$14</f>
        <v>#DIV/0!</v>
      </c>
      <c r="J11" s="85" t="str">
        <f t="shared" ref="J11:J13" si="15">$J$14*C11/$C$14</f>
        <v>#DIV/0!</v>
      </c>
      <c r="K11" s="86" t="str">
        <f t="shared" ref="K11:K13" si="16">$K$14*C11/$C$14</f>
        <v>#DIV/0!</v>
      </c>
      <c r="L11" s="86" t="str">
        <f t="shared" ref="L11:L13" si="17">(C11+D11+F11+H11+J11+E11+Q11)*IF($D$19=TRUE,X3,W3)</f>
        <v>#DIV/0!</v>
      </c>
      <c r="M11" s="86" t="str">
        <f t="shared" ref="M11:M13" si="18">+(C11+E11+D11+F11+H11+J11+Q11)*0.5%</f>
        <v>#DIV/0!</v>
      </c>
      <c r="N11" s="87" t="str">
        <f t="shared" ref="N11:N13" si="19">(C11+D11+E11+F11+L11+M11+Q11)*(100%+Z3)*AA3</f>
        <v>#DIV/0!</v>
      </c>
      <c r="O11" s="84">
        <f t="shared" ref="O11:O13" si="20">IF(Y3="IMPUESTOS ESPECIFICOS","IMP ESP",0)</f>
        <v>0</v>
      </c>
      <c r="P11" s="84" t="str">
        <f t="shared" ref="P11:P13" si="21">+(C11+D11+E11+F11+H11+I11+J11+L11+M11+N11+Q11+R11+S11+O11+U11+V11)*15%</f>
        <v>#DIV/0!</v>
      </c>
      <c r="Q11" s="88" t="str">
        <f t="shared" ref="Q11:Q13" si="22">C11*$Q$14/$C$14</f>
        <v>#DIV/0!</v>
      </c>
      <c r="R11" s="89" t="str">
        <f t="shared" ref="R11:R13" si="23">C11*$R$14/$C$14</f>
        <v>#DIV/0!</v>
      </c>
      <c r="S11" s="90" t="str">
        <f t="shared" ref="S11:S13" si="24">$S$14*C11/$C$14</f>
        <v>#DIV/0!</v>
      </c>
      <c r="T11" s="91" t="str">
        <f t="shared" ref="T11:T13" si="25">(SUM(C11:S11)*0.6%)</f>
        <v>#DIV/0!</v>
      </c>
      <c r="U11" s="90" t="str">
        <f t="shared" ref="U11:U13" si="26">C11*$U$14/$C$14</f>
        <v>#DIV/0!</v>
      </c>
      <c r="V11" s="90" t="str">
        <f t="shared" ref="V11:V13" si="27">$V$14*C11/$C$14</f>
        <v>#DIV/0!</v>
      </c>
      <c r="W11" s="82" t="str">
        <f t="shared" ref="W11:W13" si="28">SUM(C11:V11)</f>
        <v>#DIV/0!</v>
      </c>
      <c r="X11" s="92" t="str">
        <f t="shared" ref="X11:X13" si="29">W11/L3</f>
        <v>#DIV/0!</v>
      </c>
      <c r="Y11" s="92" t="str">
        <f t="shared" ref="Y11:Y13" si="30">C11*$Y$14/$C$14</f>
        <v>#DIV/0!</v>
      </c>
      <c r="Z11" s="92" t="str">
        <f t="shared" ref="Z11:Z13" si="31">Y11/L3</f>
        <v>#DIV/0!</v>
      </c>
      <c r="AA11" s="92" t="str">
        <f t="shared" ref="AA11:AA13" si="32">W11/O3-1</f>
        <v>#DIV/0!</v>
      </c>
      <c r="AB11" s="92" t="str">
        <f t="shared" ref="AB11:AB13" si="33">Y11/O3-1</f>
        <v>#DIV/0!</v>
      </c>
      <c r="AC11" s="2"/>
      <c r="AD11" s="2"/>
      <c r="AE11" s="2"/>
      <c r="AF11" s="2"/>
      <c r="AG11" s="2"/>
      <c r="AH11" s="2"/>
      <c r="AI11" s="2"/>
      <c r="AJ11" s="2"/>
      <c r="AK11" s="2"/>
      <c r="AL11" s="2"/>
    </row>
    <row r="12" ht="15.75" customHeight="1">
      <c r="A12" s="81" t="str">
        <f t="shared" si="7"/>
        <v/>
      </c>
      <c r="B12" s="82"/>
      <c r="C12" s="82">
        <f t="shared" si="8"/>
        <v>0</v>
      </c>
      <c r="D12" s="83" t="str">
        <f t="shared" si="9"/>
        <v>#DIV/0!</v>
      </c>
      <c r="E12" s="83" t="str">
        <f t="shared" si="10"/>
        <v>#DIV/0!</v>
      </c>
      <c r="F12" s="82" t="str">
        <f t="shared" si="11"/>
        <v>#DIV/0!</v>
      </c>
      <c r="G12" s="82" t="str">
        <f t="shared" si="12"/>
        <v>#DIV/0!</v>
      </c>
      <c r="H12" s="84" t="str">
        <f t="shared" si="13"/>
        <v/>
      </c>
      <c r="I12" s="82" t="str">
        <f t="shared" si="14"/>
        <v>#DIV/0!</v>
      </c>
      <c r="J12" s="85" t="str">
        <f t="shared" si="15"/>
        <v>#DIV/0!</v>
      </c>
      <c r="K12" s="86" t="str">
        <f t="shared" si="16"/>
        <v>#DIV/0!</v>
      </c>
      <c r="L12" s="86" t="str">
        <f t="shared" si="17"/>
        <v>#DIV/0!</v>
      </c>
      <c r="M12" s="86" t="str">
        <f t="shared" si="18"/>
        <v>#DIV/0!</v>
      </c>
      <c r="N12" s="87" t="str">
        <f t="shared" si="19"/>
        <v>#DIV/0!</v>
      </c>
      <c r="O12" s="84">
        <f t="shared" si="20"/>
        <v>0</v>
      </c>
      <c r="P12" s="84" t="str">
        <f t="shared" si="21"/>
        <v>#DIV/0!</v>
      </c>
      <c r="Q12" s="88" t="str">
        <f t="shared" si="22"/>
        <v>#DIV/0!</v>
      </c>
      <c r="R12" s="89" t="str">
        <f t="shared" si="23"/>
        <v>#DIV/0!</v>
      </c>
      <c r="S12" s="90" t="str">
        <f t="shared" si="24"/>
        <v>#DIV/0!</v>
      </c>
      <c r="T12" s="91" t="str">
        <f t="shared" si="25"/>
        <v>#DIV/0!</v>
      </c>
      <c r="U12" s="90" t="str">
        <f t="shared" si="26"/>
        <v>#DIV/0!</v>
      </c>
      <c r="V12" s="90" t="str">
        <f t="shared" si="27"/>
        <v>#DIV/0!</v>
      </c>
      <c r="W12" s="82" t="str">
        <f t="shared" si="28"/>
        <v>#DIV/0!</v>
      </c>
      <c r="X12" s="92" t="str">
        <f t="shared" si="29"/>
        <v>#DIV/0!</v>
      </c>
      <c r="Y12" s="92" t="str">
        <f t="shared" si="30"/>
        <v>#DIV/0!</v>
      </c>
      <c r="Z12" s="92" t="str">
        <f t="shared" si="31"/>
        <v>#DIV/0!</v>
      </c>
      <c r="AA12" s="92" t="str">
        <f t="shared" si="32"/>
        <v>#DIV/0!</v>
      </c>
      <c r="AB12" s="92" t="str">
        <f t="shared" si="33"/>
        <v>#DIV/0!</v>
      </c>
      <c r="AC12" s="2"/>
      <c r="AD12" s="2"/>
      <c r="AE12" s="2"/>
      <c r="AF12" s="2"/>
      <c r="AG12" s="2"/>
      <c r="AH12" s="2"/>
      <c r="AI12" s="2"/>
      <c r="AJ12" s="2"/>
      <c r="AK12" s="2"/>
      <c r="AL12" s="2"/>
    </row>
    <row r="13" ht="15.75" customHeight="1">
      <c r="A13" s="81" t="str">
        <f t="shared" si="7"/>
        <v/>
      </c>
      <c r="B13" s="82"/>
      <c r="C13" s="82">
        <f t="shared" si="8"/>
        <v>0</v>
      </c>
      <c r="D13" s="83" t="str">
        <f t="shared" si="9"/>
        <v>#DIV/0!</v>
      </c>
      <c r="E13" s="83" t="str">
        <f t="shared" si="10"/>
        <v>#DIV/0!</v>
      </c>
      <c r="F13" s="82" t="str">
        <f t="shared" si="11"/>
        <v>#DIV/0!</v>
      </c>
      <c r="G13" s="82" t="str">
        <f t="shared" si="12"/>
        <v>#DIV/0!</v>
      </c>
      <c r="H13" s="84" t="str">
        <f t="shared" si="13"/>
        <v/>
      </c>
      <c r="I13" s="82" t="str">
        <f t="shared" si="14"/>
        <v>#DIV/0!</v>
      </c>
      <c r="J13" s="85" t="str">
        <f t="shared" si="15"/>
        <v>#DIV/0!</v>
      </c>
      <c r="K13" s="86" t="str">
        <f t="shared" si="16"/>
        <v>#DIV/0!</v>
      </c>
      <c r="L13" s="86" t="str">
        <f t="shared" si="17"/>
        <v>#DIV/0!</v>
      </c>
      <c r="M13" s="86" t="str">
        <f t="shared" si="18"/>
        <v>#DIV/0!</v>
      </c>
      <c r="N13" s="87" t="str">
        <f t="shared" si="19"/>
        <v>#DIV/0!</v>
      </c>
      <c r="O13" s="84">
        <f t="shared" si="20"/>
        <v>0</v>
      </c>
      <c r="P13" s="84" t="str">
        <f t="shared" si="21"/>
        <v>#DIV/0!</v>
      </c>
      <c r="Q13" s="88" t="str">
        <f t="shared" si="22"/>
        <v>#DIV/0!</v>
      </c>
      <c r="R13" s="89" t="str">
        <f t="shared" si="23"/>
        <v>#DIV/0!</v>
      </c>
      <c r="S13" s="90" t="str">
        <f t="shared" si="24"/>
        <v>#DIV/0!</v>
      </c>
      <c r="T13" s="91" t="str">
        <f t="shared" si="25"/>
        <v>#DIV/0!</v>
      </c>
      <c r="U13" s="90" t="str">
        <f t="shared" si="26"/>
        <v>#DIV/0!</v>
      </c>
      <c r="V13" s="90" t="str">
        <f t="shared" si="27"/>
        <v>#DIV/0!</v>
      </c>
      <c r="W13" s="82" t="str">
        <f t="shared" si="28"/>
        <v>#DIV/0!</v>
      </c>
      <c r="X13" s="92" t="str">
        <f t="shared" si="29"/>
        <v>#DIV/0!</v>
      </c>
      <c r="Y13" s="92" t="str">
        <f t="shared" si="30"/>
        <v>#DIV/0!</v>
      </c>
      <c r="Z13" s="92" t="str">
        <f t="shared" si="31"/>
        <v>#DIV/0!</v>
      </c>
      <c r="AA13" s="92" t="str">
        <f t="shared" si="32"/>
        <v>#DIV/0!</v>
      </c>
      <c r="AB13" s="92" t="str">
        <f t="shared" si="33"/>
        <v>#DIV/0!</v>
      </c>
      <c r="AC13" s="2"/>
      <c r="AD13" s="2"/>
      <c r="AE13" s="2"/>
      <c r="AF13" s="2"/>
      <c r="AG13" s="2"/>
      <c r="AH13" s="2"/>
      <c r="AI13" s="2"/>
      <c r="AJ13" s="2"/>
      <c r="AK13" s="2"/>
      <c r="AL13" s="2"/>
    </row>
    <row r="14" ht="15.75" customHeight="1">
      <c r="A14" s="1"/>
      <c r="B14" s="93"/>
      <c r="C14" s="94">
        <f>SUM(VALORUSD)</f>
        <v>0</v>
      </c>
      <c r="D14" s="94">
        <f>S6*IF(S6&lt;=3,$C$37,IF(S6&lt;=12,$C$38,IF(S6&lt;=21,$C$39,IF(S6&gt;21,$C$40))))+D44</f>
        <v>0</v>
      </c>
      <c r="E14" s="94">
        <f>IF(S6&lt;=3,S6*$E$37,IF(S6&lt;=12,S6*$E$38,IF(S6&lt;=21,S6*$E$39,IF(S6&gt;21,S6*$E$40))))</f>
        <v>0</v>
      </c>
      <c r="F14" s="94" t="str">
        <f>SUM(SEGURO)</f>
        <v>#DIV/0!</v>
      </c>
      <c r="G14" s="94" t="str">
        <f>SUM(ISD)</f>
        <v>#DIV/0!</v>
      </c>
      <c r="H14" s="95">
        <f>SUM(FLETEYIWU)</f>
        <v>0</v>
      </c>
      <c r="I14" s="95" t="str">
        <f>IF(D18=TRUE,((D14+E14+F14+V14)*3.5%),IF(O6&lt;3000,(C14+D14+E14+F14+H14+V14)*3.5%,IF(N6&gt;M6,140*D16,IF((C14+D14+E14+F14+H14+V14)*3.5%&gt;140,140,(C14+D14+E14+F14+H14+V14)*3.5%))))</f>
        <v>#DIV/0!</v>
      </c>
      <c r="J14" s="95">
        <f>5.36*S6</f>
        <v>0</v>
      </c>
      <c r="K14" s="94">
        <f>IF(((70*S6)+K18)&lt;10,10,(70*S6)+K18)</f>
        <v>10</v>
      </c>
      <c r="L14" s="94" t="str">
        <f t="shared" ref="L14:M14" si="34">SUM(L11:L13)</f>
        <v>#DIV/0!</v>
      </c>
      <c r="M14" s="94" t="str">
        <f t="shared" si="34"/>
        <v>#DIV/0!</v>
      </c>
      <c r="N14" s="95" t="str">
        <f>SUM(ICE)</f>
        <v>#DIV/0!</v>
      </c>
      <c r="O14" s="96">
        <f>SUM(O11:O13)</f>
        <v>0</v>
      </c>
      <c r="P14" s="96" t="str">
        <f>SUM(IVA)</f>
        <v>#DIV/0!</v>
      </c>
      <c r="Q14" s="95">
        <f>IF(C14&gt;3000,(C14+D14+E14+F14)*IF(C14&lt;I38,J37,IF(C14&lt;I39,J38,IF(C14&lt;I40,J39,IF(C14&lt;I41,J40,IF(C14&lt;I42,J41,IF(C14&gt;=I42,IF(ISNUMBER(J42),J42,J41))))))),180)</f>
        <v>180</v>
      </c>
      <c r="R14" s="95">
        <f>S6*IF(S6&lt;=3,$D$37,IF(S6&lt;=12,$D$38,IF(S6&lt;=21,$D$39,IF(S6&gt;21,$D$40))))+C14*IF(C14&lt;I38,K37,IF(C14&lt;I39,K38,IF(C14&lt;I40,K39,IF(C14&lt;I41,K40,IF(C14&lt;I42,K41,IF(ISNUMBER(K42),K42,K41))))))+1</f>
        <v>1</v>
      </c>
      <c r="S14" s="97">
        <f>S6*IF(S6&lt;=3,$F$37,IF(S6&lt;=12,$F$38,IF(S6&lt;=21,$F$39,IF(S6&gt;21,$F$40))))</f>
        <v>0</v>
      </c>
      <c r="T14" s="94" t="str">
        <f>SUM(T11:T13)</f>
        <v>#DIV/0!</v>
      </c>
      <c r="U14" s="98">
        <f>IF($D$19=TRUE,20,0)</f>
        <v>0</v>
      </c>
      <c r="V14" s="98">
        <f>IF(SUM($O$3:$O$5)&gt;3000,70,0)</f>
        <v>0</v>
      </c>
      <c r="W14" s="99" t="str">
        <f>SUM(W11:W13)</f>
        <v>#DIV/0!</v>
      </c>
      <c r="X14" s="100"/>
      <c r="Y14" s="101">
        <f>IF(D30=TRUE,E30,IF(D31=TRUE,E31,IF(D32=TRUE,E32,0)))</f>
        <v>0</v>
      </c>
      <c r="Z14" s="100"/>
      <c r="AA14" s="100"/>
      <c r="AB14" s="2"/>
      <c r="AC14" s="2"/>
      <c r="AD14" s="2"/>
      <c r="AE14" s="2"/>
      <c r="AF14" s="2"/>
      <c r="AG14" s="2"/>
      <c r="AH14" s="2"/>
      <c r="AI14" s="2"/>
      <c r="AJ14" s="2"/>
      <c r="AK14" s="2"/>
      <c r="AL14" s="2"/>
    </row>
    <row r="15">
      <c r="A15" s="1"/>
      <c r="B15" s="1"/>
      <c r="C15" s="102" t="str">
        <f>IF(O6=C14," ","no coincide con TOTAL USD")</f>
        <v> </v>
      </c>
      <c r="D15" s="1"/>
      <c r="E15" s="1"/>
      <c r="F15" s="1"/>
      <c r="G15" s="1"/>
      <c r="H15" s="1"/>
      <c r="I15" s="2"/>
      <c r="J15" s="1"/>
      <c r="K15" s="1"/>
      <c r="L15" s="1"/>
      <c r="M15" s="103"/>
      <c r="N15" s="103"/>
      <c r="O15" s="103"/>
      <c r="P15" s="103"/>
      <c r="Q15" s="2"/>
      <c r="R15" s="2"/>
      <c r="S15" s="104"/>
      <c r="T15" s="103"/>
      <c r="U15" s="105"/>
      <c r="V15" s="105"/>
      <c r="W15" s="2"/>
      <c r="X15" s="2"/>
      <c r="Y15" s="2"/>
      <c r="Z15" s="2"/>
      <c r="AA15" s="2"/>
      <c r="AB15" s="2"/>
      <c r="AC15" s="2"/>
      <c r="AD15" s="2"/>
      <c r="AE15" s="2"/>
      <c r="AF15" s="2"/>
      <c r="AG15" s="2"/>
      <c r="AH15" s="2"/>
      <c r="AI15" s="2"/>
      <c r="AJ15" s="2"/>
      <c r="AK15" s="2"/>
      <c r="AL15" s="2"/>
    </row>
    <row r="16" ht="16.5" customHeight="1">
      <c r="A16" s="1"/>
      <c r="B16" s="106"/>
      <c r="C16" s="107" t="s">
        <v>62</v>
      </c>
      <c r="D16" s="108">
        <f>MAX(B3:B5)</f>
        <v>2</v>
      </c>
      <c r="E16" s="109"/>
      <c r="F16" s="1"/>
      <c r="G16" s="1"/>
      <c r="H16" s="1"/>
      <c r="I16" s="1"/>
      <c r="J16" s="2"/>
      <c r="K16" s="110"/>
      <c r="L16" s="111"/>
      <c r="M16" s="111"/>
      <c r="N16" s="112"/>
      <c r="O16" s="112"/>
      <c r="P16" s="112"/>
      <c r="Q16" s="112"/>
      <c r="R16" s="112"/>
      <c r="S16" s="112"/>
      <c r="T16" s="112"/>
      <c r="U16" s="112"/>
      <c r="V16" s="112"/>
      <c r="W16" s="112"/>
      <c r="X16" s="112"/>
      <c r="Y16" s="2"/>
      <c r="Z16" s="2"/>
      <c r="AA16" s="2"/>
      <c r="AB16" s="2"/>
      <c r="AC16" s="2"/>
      <c r="AD16" s="2"/>
      <c r="AE16" s="2"/>
      <c r="AF16" s="2"/>
      <c r="AG16" s="2"/>
      <c r="AH16" s="2"/>
      <c r="AI16" s="2"/>
      <c r="AJ16" s="2"/>
      <c r="AK16" s="2"/>
      <c r="AL16" s="2"/>
    </row>
    <row r="17" ht="16.5" customHeight="1">
      <c r="A17" s="1"/>
      <c r="B17" s="106"/>
      <c r="C17" s="107" t="s">
        <v>63</v>
      </c>
      <c r="D17" s="113">
        <v>1.0</v>
      </c>
      <c r="E17" s="109"/>
      <c r="F17" s="1"/>
      <c r="G17" s="1"/>
      <c r="H17" s="1"/>
      <c r="I17" s="1"/>
      <c r="J17" s="109"/>
      <c r="K17" s="110"/>
      <c r="L17" s="111"/>
      <c r="M17" s="111"/>
      <c r="N17" s="112"/>
      <c r="O17" s="112"/>
      <c r="P17" s="112"/>
      <c r="Q17" s="112"/>
      <c r="R17" s="112"/>
      <c r="S17" s="112"/>
      <c r="T17" s="112"/>
      <c r="U17" s="112"/>
      <c r="V17" s="112"/>
      <c r="W17" s="112"/>
      <c r="X17" s="112"/>
      <c r="Y17" s="2"/>
      <c r="Z17" s="2"/>
      <c r="AA17" s="2"/>
      <c r="AB17" s="2"/>
      <c r="AC17" s="2"/>
      <c r="AD17" s="2"/>
      <c r="AE17" s="2"/>
      <c r="AF17" s="2"/>
      <c r="AG17" s="2"/>
      <c r="AH17" s="2"/>
      <c r="AI17" s="2"/>
      <c r="AJ17" s="2"/>
      <c r="AK17" s="2"/>
      <c r="AL17" s="2"/>
    </row>
    <row r="18" ht="16.5" customHeight="1">
      <c r="A18" s="1"/>
      <c r="B18" s="106"/>
      <c r="C18" s="107" t="s">
        <v>64</v>
      </c>
      <c r="D18" s="114" t="b">
        <v>0</v>
      </c>
      <c r="E18" s="109"/>
      <c r="F18" s="1"/>
      <c r="G18" s="1"/>
      <c r="H18" s="1"/>
      <c r="I18" s="1"/>
      <c r="J18" s="115" t="s">
        <v>65</v>
      </c>
      <c r="K18" s="116"/>
      <c r="L18" s="117" t="s">
        <v>66</v>
      </c>
      <c r="M18" s="118"/>
      <c r="N18" s="112">
        <f>ROUNDUP(S6,0)*1100/56</f>
        <v>0</v>
      </c>
      <c r="O18" s="112"/>
      <c r="P18" s="112"/>
      <c r="Q18" s="112"/>
      <c r="R18" s="112"/>
      <c r="S18" s="112"/>
      <c r="T18" s="112"/>
      <c r="U18" s="112"/>
      <c r="V18" s="112"/>
      <c r="W18" s="112"/>
      <c r="X18" s="112"/>
      <c r="Y18" s="2"/>
      <c r="Z18" s="2"/>
      <c r="AA18" s="2"/>
      <c r="AB18" s="2"/>
      <c r="AC18" s="2"/>
      <c r="AD18" s="2"/>
      <c r="AE18" s="2"/>
      <c r="AF18" s="2"/>
      <c r="AG18" s="2"/>
      <c r="AH18" s="2"/>
      <c r="AI18" s="2"/>
      <c r="AJ18" s="2"/>
      <c r="AK18" s="2"/>
      <c r="AL18" s="2"/>
    </row>
    <row r="19" ht="15.75" customHeight="1">
      <c r="A19" s="1"/>
      <c r="B19" s="119"/>
      <c r="C19" s="120" t="s">
        <v>67</v>
      </c>
      <c r="D19" s="114" t="b">
        <v>0</v>
      </c>
      <c r="E19" s="109"/>
      <c r="F19" s="1"/>
      <c r="G19" s="1"/>
      <c r="H19" s="1"/>
      <c r="I19" s="1"/>
      <c r="J19" s="121"/>
      <c r="K19" s="1"/>
      <c r="L19" s="112"/>
      <c r="M19" s="112"/>
      <c r="N19" s="112"/>
      <c r="O19" s="112"/>
      <c r="P19" s="112"/>
      <c r="Q19" s="112"/>
      <c r="R19" s="112"/>
      <c r="S19" s="112"/>
      <c r="T19" s="112"/>
      <c r="U19" s="112"/>
      <c r="V19" s="112"/>
      <c r="W19" s="112"/>
      <c r="X19" s="112"/>
      <c r="Y19" s="1"/>
      <c r="Z19" s="1"/>
      <c r="AA19" s="2"/>
      <c r="AB19" s="2"/>
      <c r="AC19" s="2"/>
      <c r="AD19" s="2"/>
      <c r="AE19" s="2"/>
      <c r="AF19" s="2"/>
      <c r="AG19" s="2"/>
      <c r="AH19" s="2"/>
      <c r="AI19" s="2"/>
      <c r="AJ19" s="2"/>
      <c r="AK19" s="2"/>
      <c r="AL19" s="2"/>
    </row>
    <row r="20" ht="15.75" customHeight="1">
      <c r="A20" s="122" t="s">
        <v>68</v>
      </c>
      <c r="B20" s="2"/>
      <c r="C20" s="107" t="s">
        <v>69</v>
      </c>
      <c r="D20" s="123">
        <v>38.0</v>
      </c>
      <c r="E20" s="124"/>
      <c r="F20" s="125"/>
      <c r="G20" s="125"/>
      <c r="H20" s="1"/>
      <c r="I20" s="1"/>
      <c r="J20" s="121"/>
      <c r="K20" s="1"/>
      <c r="L20" s="126"/>
      <c r="M20" s="126"/>
      <c r="N20" s="126"/>
      <c r="O20" s="126"/>
      <c r="P20" s="126"/>
      <c r="Q20" s="126"/>
      <c r="R20" s="126"/>
      <c r="S20" s="126"/>
      <c r="T20" s="126"/>
      <c r="U20" s="127"/>
      <c r="V20" s="128"/>
      <c r="W20" s="1"/>
      <c r="X20" s="1"/>
      <c r="Y20" s="1"/>
      <c r="Z20" s="2"/>
      <c r="AA20" s="2"/>
      <c r="AB20" s="2"/>
      <c r="AC20" s="2"/>
      <c r="AD20" s="2"/>
      <c r="AE20" s="2"/>
      <c r="AF20" s="2"/>
      <c r="AG20" s="2"/>
      <c r="AH20" s="2"/>
      <c r="AI20" s="2"/>
      <c r="AJ20" s="2"/>
      <c r="AK20" s="2"/>
      <c r="AL20" s="2"/>
    </row>
    <row r="21" ht="15.75" customHeight="1">
      <c r="B21" s="2"/>
      <c r="C21" s="120" t="s">
        <v>70</v>
      </c>
      <c r="D21" s="129">
        <v>0.0</v>
      </c>
      <c r="E21" s="130"/>
      <c r="F21" s="125"/>
      <c r="G21" s="125"/>
      <c r="H21" s="1"/>
      <c r="I21" s="1"/>
      <c r="J21" s="121"/>
      <c r="K21" s="1"/>
      <c r="L21" s="126"/>
      <c r="M21" s="126"/>
      <c r="N21" s="126"/>
      <c r="O21" s="126"/>
      <c r="P21" s="126"/>
      <c r="Q21" s="126"/>
      <c r="R21" s="126"/>
      <c r="S21" s="126"/>
      <c r="T21" s="126"/>
      <c r="U21" s="127"/>
      <c r="V21" s="128"/>
      <c r="W21" s="1"/>
      <c r="X21" s="1"/>
      <c r="Y21" s="1"/>
      <c r="Z21" s="2"/>
      <c r="AA21" s="2"/>
      <c r="AB21" s="2"/>
      <c r="AC21" s="2"/>
      <c r="AD21" s="2"/>
      <c r="AE21" s="2"/>
      <c r="AF21" s="2"/>
      <c r="AG21" s="2"/>
      <c r="AH21" s="2"/>
      <c r="AI21" s="2"/>
      <c r="AJ21" s="2"/>
      <c r="AK21" s="2"/>
      <c r="AL21" s="2"/>
    </row>
    <row r="22" ht="15.75" customHeight="1">
      <c r="B22" s="2"/>
      <c r="C22" s="120" t="s">
        <v>71</v>
      </c>
      <c r="D22" s="16" t="b">
        <v>0</v>
      </c>
      <c r="E22" s="125"/>
      <c r="F22" s="125"/>
      <c r="G22" s="125"/>
      <c r="H22" s="1"/>
      <c r="I22" s="1"/>
      <c r="J22" s="121"/>
      <c r="K22" s="1"/>
      <c r="L22" s="126"/>
      <c r="M22" s="126"/>
      <c r="N22" s="126"/>
      <c r="O22" s="126"/>
      <c r="P22" s="126"/>
      <c r="Q22" s="126"/>
      <c r="R22" s="126"/>
      <c r="S22" s="126"/>
      <c r="T22" s="126"/>
      <c r="U22" s="127"/>
      <c r="V22" s="128"/>
      <c r="W22" s="1"/>
      <c r="X22" s="1"/>
      <c r="Y22" s="1"/>
      <c r="Z22" s="2"/>
      <c r="AA22" s="2"/>
      <c r="AB22" s="2"/>
      <c r="AC22" s="2"/>
      <c r="AD22" s="2"/>
      <c r="AE22" s="2"/>
      <c r="AF22" s="2"/>
      <c r="AG22" s="2"/>
      <c r="AH22" s="2"/>
      <c r="AI22" s="2"/>
      <c r="AJ22" s="2"/>
      <c r="AK22" s="2"/>
      <c r="AL22" s="2"/>
    </row>
    <row r="23" ht="15.75" customHeight="1">
      <c r="B23" s="2"/>
      <c r="C23" s="120" t="s">
        <v>72</v>
      </c>
      <c r="D23" s="131" t="s">
        <v>34</v>
      </c>
      <c r="E23" s="125"/>
      <c r="F23" s="125"/>
      <c r="G23" s="125"/>
      <c r="H23" s="1"/>
      <c r="I23" s="1"/>
      <c r="J23" s="121"/>
      <c r="K23" s="1"/>
      <c r="L23" s="126"/>
      <c r="M23" s="126"/>
      <c r="N23" s="126"/>
      <c r="O23" s="126"/>
      <c r="P23" s="126"/>
      <c r="Q23" s="126"/>
      <c r="R23" s="126"/>
      <c r="S23" s="126"/>
      <c r="T23" s="126"/>
      <c r="U23" s="127"/>
      <c r="V23" s="128"/>
      <c r="W23" s="1"/>
      <c r="X23" s="1"/>
      <c r="Y23" s="1"/>
      <c r="Z23" s="2"/>
      <c r="AA23" s="2"/>
      <c r="AB23" s="2"/>
      <c r="AC23" s="2"/>
      <c r="AD23" s="2"/>
      <c r="AE23" s="2"/>
      <c r="AF23" s="2"/>
      <c r="AG23" s="2"/>
      <c r="AH23" s="2"/>
      <c r="AI23" s="2"/>
      <c r="AJ23" s="2"/>
      <c r="AK23" s="2"/>
      <c r="AL23" s="2"/>
    </row>
    <row r="24" ht="15.75" customHeight="1">
      <c r="A24" s="42"/>
      <c r="B24" s="2"/>
      <c r="C24" s="107" t="s">
        <v>73</v>
      </c>
      <c r="D24" s="131" t="s">
        <v>34</v>
      </c>
      <c r="E24" s="2"/>
      <c r="F24" s="128"/>
      <c r="G24" s="1"/>
      <c r="H24" s="128"/>
      <c r="I24" s="1"/>
      <c r="J24" s="121"/>
      <c r="K24" s="1"/>
      <c r="L24" s="126"/>
      <c r="M24" s="126"/>
      <c r="N24" s="126"/>
      <c r="O24" s="126"/>
      <c r="P24" s="126"/>
      <c r="Q24" s="126"/>
      <c r="R24" s="126"/>
      <c r="S24" s="126"/>
      <c r="T24" s="126"/>
      <c r="U24" s="127"/>
      <c r="V24" s="128"/>
      <c r="W24" s="1"/>
      <c r="X24" s="1"/>
      <c r="Y24" s="1"/>
      <c r="Z24" s="2"/>
      <c r="AA24" s="2"/>
      <c r="AB24" s="2"/>
      <c r="AC24" s="2"/>
      <c r="AD24" s="2"/>
      <c r="AE24" s="2"/>
      <c r="AF24" s="2"/>
      <c r="AG24" s="2"/>
      <c r="AH24" s="2"/>
      <c r="AI24" s="2"/>
      <c r="AJ24" s="2"/>
      <c r="AK24" s="2"/>
      <c r="AL24" s="2"/>
    </row>
    <row r="25" ht="15.75" customHeight="1">
      <c r="A25" s="42"/>
      <c r="B25" s="2"/>
      <c r="C25" s="132" t="s">
        <v>74</v>
      </c>
      <c r="D25" s="133"/>
      <c r="E25" s="2"/>
      <c r="F25" s="128"/>
      <c r="G25" s="1"/>
      <c r="H25" s="128"/>
      <c r="I25" s="1"/>
      <c r="J25" s="121"/>
      <c r="K25" s="1"/>
      <c r="L25" s="126"/>
      <c r="M25" s="126"/>
      <c r="N25" s="126"/>
      <c r="O25" s="126"/>
      <c r="P25" s="126"/>
      <c r="Q25" s="126"/>
      <c r="R25" s="126"/>
      <c r="S25" s="126"/>
      <c r="T25" s="126"/>
      <c r="U25" s="127"/>
      <c r="V25" s="128"/>
      <c r="W25" s="1"/>
      <c r="X25" s="1"/>
      <c r="Y25" s="1"/>
      <c r="Z25" s="2"/>
      <c r="AA25" s="2"/>
      <c r="AB25" s="2"/>
      <c r="AC25" s="2"/>
      <c r="AD25" s="2"/>
      <c r="AE25" s="2"/>
      <c r="AF25" s="2"/>
      <c r="AG25" s="2"/>
      <c r="AH25" s="2"/>
      <c r="AI25" s="2"/>
      <c r="AJ25" s="2"/>
      <c r="AK25" s="2"/>
      <c r="AL25" s="2"/>
    </row>
    <row r="26" ht="15.75" customHeight="1">
      <c r="A26" s="42"/>
      <c r="B26" s="2"/>
      <c r="C26" s="107" t="s">
        <v>16</v>
      </c>
      <c r="D26" s="114">
        <f>Q6</f>
        <v>0</v>
      </c>
      <c r="E26" s="2"/>
      <c r="F26" s="128"/>
      <c r="G26" s="1"/>
      <c r="H26" s="128"/>
      <c r="I26" s="1"/>
      <c r="J26" s="121"/>
      <c r="K26" s="1"/>
      <c r="L26" s="126"/>
      <c r="M26" s="126"/>
      <c r="N26" s="126"/>
      <c r="O26" s="126"/>
      <c r="P26" s="126"/>
      <c r="Q26" s="126"/>
      <c r="R26" s="126"/>
      <c r="S26" s="126"/>
      <c r="T26" s="126"/>
      <c r="U26" s="127"/>
      <c r="V26" s="128"/>
      <c r="W26" s="1"/>
      <c r="X26" s="1"/>
      <c r="Y26" s="1"/>
      <c r="Z26" s="2"/>
      <c r="AA26" s="2"/>
      <c r="AB26" s="2"/>
      <c r="AC26" s="2"/>
      <c r="AD26" s="2"/>
      <c r="AE26" s="2"/>
      <c r="AF26" s="2"/>
      <c r="AG26" s="2"/>
      <c r="AH26" s="2"/>
      <c r="AI26" s="2"/>
      <c r="AJ26" s="2"/>
      <c r="AK26" s="2"/>
      <c r="AL26" s="2"/>
    </row>
    <row r="27" ht="15.75" customHeight="1">
      <c r="A27" s="42"/>
      <c r="B27" s="2"/>
      <c r="C27" s="2"/>
      <c r="D27" s="128"/>
      <c r="E27" s="2"/>
      <c r="F27" s="128"/>
      <c r="G27" s="1"/>
      <c r="H27" s="128" t="s">
        <v>75</v>
      </c>
      <c r="I27" s="1"/>
      <c r="J27" s="121"/>
      <c r="K27" s="1"/>
      <c r="L27" s="126"/>
      <c r="M27" s="126"/>
      <c r="N27" s="126"/>
      <c r="O27" s="126"/>
      <c r="P27" s="126"/>
      <c r="Q27" s="126"/>
      <c r="R27" s="126"/>
      <c r="S27" s="126"/>
      <c r="T27" s="126"/>
      <c r="U27" s="127"/>
      <c r="V27" s="128"/>
      <c r="W27" s="1"/>
      <c r="X27" s="1"/>
      <c r="Y27" s="1"/>
      <c r="Z27" s="2"/>
      <c r="AA27" s="2"/>
      <c r="AB27" s="2"/>
      <c r="AC27" s="2"/>
      <c r="AD27" s="2"/>
      <c r="AE27" s="2"/>
      <c r="AF27" s="2"/>
      <c r="AG27" s="2"/>
      <c r="AH27" s="2"/>
      <c r="AI27" s="2"/>
      <c r="AJ27" s="2"/>
      <c r="AK27" s="2"/>
      <c r="AL27" s="2"/>
    </row>
    <row r="28" ht="15.75" customHeight="1">
      <c r="A28" s="1"/>
      <c r="B28" s="134"/>
      <c r="C28" s="135" t="s">
        <v>76</v>
      </c>
      <c r="D28" s="118"/>
      <c r="E28" s="136" t="s">
        <v>77</v>
      </c>
      <c r="F28" s="133" t="s">
        <v>78</v>
      </c>
      <c r="G28" s="128"/>
      <c r="H28" s="137" t="str">
        <f>IF(C14&gt;'3. LCL D'!B5,"PENDIENTE INCLUIR FILAS EN EL LCL","OK")</f>
        <v>OK</v>
      </c>
      <c r="I28" s="1"/>
      <c r="J28" s="1"/>
      <c r="K28" s="1"/>
      <c r="L28" s="1"/>
      <c r="M28" s="138"/>
      <c r="N28" s="138"/>
      <c r="O28" s="1"/>
      <c r="P28" s="1"/>
      <c r="Q28" s="1"/>
      <c r="R28" s="1"/>
      <c r="S28" s="1"/>
      <c r="T28" s="1"/>
      <c r="U28" s="1"/>
      <c r="V28" s="1"/>
      <c r="W28" s="1"/>
      <c r="X28" s="1"/>
      <c r="Y28" s="1"/>
      <c r="Z28" s="1"/>
      <c r="AA28" s="1"/>
      <c r="AB28" s="1"/>
      <c r="AC28" s="1"/>
      <c r="AD28" s="1"/>
      <c r="AE28" s="1"/>
      <c r="AF28" s="1"/>
      <c r="AG28" s="1"/>
      <c r="AH28" s="1"/>
      <c r="AI28" s="1"/>
      <c r="AJ28" s="1"/>
      <c r="AK28" s="1"/>
      <c r="AL28" s="1"/>
    </row>
    <row r="29" ht="15.75" customHeight="1">
      <c r="A29" s="2"/>
      <c r="B29" s="139"/>
      <c r="C29" s="140" t="s">
        <v>79</v>
      </c>
      <c r="D29" s="113" t="b">
        <v>0</v>
      </c>
      <c r="E29" s="82" t="str">
        <f>SUM(C11:V13)</f>
        <v>#DIV/0!</v>
      </c>
      <c r="F29" s="141" t="str">
        <f>W14/(C14)-1</f>
        <v>#DIV/0!</v>
      </c>
      <c r="G29" s="128"/>
      <c r="H29" s="137" t="str">
        <f>IF(C14=0,"OK",IF(I14&gt;(D16*140),"ALERTA COMISION","OK"))</f>
        <v>OK</v>
      </c>
      <c r="I29" s="1"/>
      <c r="J29" s="1"/>
      <c r="K29" s="1"/>
      <c r="L29" s="1"/>
      <c r="M29" s="138"/>
      <c r="N29" s="138"/>
      <c r="O29" s="1"/>
      <c r="P29" s="1"/>
      <c r="Q29" s="1"/>
      <c r="R29" s="1"/>
      <c r="S29" s="1"/>
      <c r="T29" s="1"/>
      <c r="U29" s="1"/>
      <c r="V29" s="1"/>
      <c r="W29" s="1"/>
      <c r="X29" s="1"/>
      <c r="Y29" s="1"/>
      <c r="Z29" s="1"/>
      <c r="AA29" s="1"/>
      <c r="AB29" s="1"/>
      <c r="AC29" s="1"/>
      <c r="AD29" s="1"/>
      <c r="AE29" s="1"/>
      <c r="AF29" s="1"/>
      <c r="AG29" s="1"/>
      <c r="AH29" s="1"/>
      <c r="AI29" s="1"/>
      <c r="AJ29" s="1"/>
      <c r="AK29" s="1"/>
      <c r="AL29" s="1"/>
    </row>
    <row r="30" ht="15.75" customHeight="1">
      <c r="A30" s="1"/>
      <c r="B30" s="1"/>
      <c r="C30" s="108" t="s">
        <v>80</v>
      </c>
      <c r="D30" s="113" t="b">
        <v>0</v>
      </c>
      <c r="E30" s="82" t="str">
        <f>'b. LIQ.F'!F82</f>
        <v>#DIV/0!</v>
      </c>
      <c r="F30" s="142" t="str">
        <f>'2.FAC'!W16/(C14)-1</f>
        <v>#DIV/0!</v>
      </c>
      <c r="G30" s="128" t="str">
        <f>E30-C14</f>
        <v>#DIV/0!</v>
      </c>
      <c r="H30" s="137" t="str">
        <f>IF(C14=0,"OK", IF(S6=0,"CBM=0",IF(S6&lt;Q6, "ERROR DE CBM / PESO","OK")))</f>
        <v>OK</v>
      </c>
      <c r="I30" s="1"/>
      <c r="J30" s="1"/>
      <c r="K30" s="1"/>
      <c r="L30" s="1"/>
      <c r="M30" s="138"/>
      <c r="N30" s="138"/>
      <c r="O30" s="1"/>
      <c r="P30" s="1"/>
      <c r="Q30" s="1"/>
      <c r="R30" s="1"/>
      <c r="S30" s="1"/>
      <c r="T30" s="1"/>
      <c r="U30" s="1"/>
      <c r="V30" s="1"/>
      <c r="W30" s="1"/>
      <c r="X30" s="1"/>
      <c r="Y30" s="1"/>
      <c r="Z30" s="1"/>
      <c r="AA30" s="1"/>
      <c r="AB30" s="1"/>
      <c r="AC30" s="1"/>
      <c r="AD30" s="1"/>
      <c r="AE30" s="1"/>
      <c r="AF30" s="1"/>
      <c r="AG30" s="1"/>
      <c r="AH30" s="1"/>
      <c r="AI30" s="1"/>
      <c r="AJ30" s="1"/>
      <c r="AK30" s="1"/>
      <c r="AL30" s="1"/>
    </row>
    <row r="31" ht="15.75" customHeight="1">
      <c r="A31" s="1"/>
      <c r="B31" s="1"/>
      <c r="C31" s="108" t="s">
        <v>81</v>
      </c>
      <c r="D31" s="113" t="b">
        <v>0</v>
      </c>
      <c r="E31" s="82" t="str">
        <f>'b. LIQ.F'!N82</f>
        <v>#DIV/0!</v>
      </c>
      <c r="F31" s="142" t="str">
        <f>'2.FAC'!W21/(C14)-1</f>
        <v>#DIV/0!</v>
      </c>
      <c r="G31" s="128"/>
      <c r="H31" s="137" t="str">
        <f>IF(C14=0,"OK", IF(E29=SUM(C14:V14),"OK","NO COINCIDE LOS TOTALES"))</f>
        <v>OK</v>
      </c>
      <c r="I31" s="1"/>
      <c r="J31" s="1"/>
      <c r="K31" s="1"/>
      <c r="L31" s="1"/>
      <c r="M31" s="138"/>
      <c r="N31" s="138"/>
      <c r="O31" s="1"/>
      <c r="P31" s="1"/>
      <c r="Q31" s="1"/>
      <c r="R31" s="1"/>
      <c r="S31" s="1"/>
      <c r="T31" s="1"/>
      <c r="U31" s="1"/>
      <c r="V31" s="1"/>
      <c r="W31" s="1"/>
      <c r="X31" s="1"/>
      <c r="Y31" s="1"/>
      <c r="Z31" s="1"/>
      <c r="AA31" s="1"/>
      <c r="AB31" s="1"/>
      <c r="AC31" s="1"/>
      <c r="AD31" s="1"/>
      <c r="AE31" s="1"/>
      <c r="AF31" s="1"/>
      <c r="AG31" s="1"/>
      <c r="AH31" s="1"/>
      <c r="AI31" s="1"/>
      <c r="AJ31" s="1"/>
      <c r="AK31" s="1"/>
      <c r="AL31" s="1"/>
    </row>
    <row r="32" ht="15.75" customHeight="1">
      <c r="A32" s="1"/>
      <c r="B32" s="1"/>
      <c r="C32" s="108" t="s">
        <v>82</v>
      </c>
      <c r="D32" s="113" t="b">
        <v>0</v>
      </c>
      <c r="E32" s="82" t="str">
        <f>'b. LIQ.F'!V82</f>
        <v>#DIV/0!</v>
      </c>
      <c r="F32" s="142" t="str">
        <f>'2.FAC'!W26/(C14)-1</f>
        <v>#DIV/0!</v>
      </c>
      <c r="G32" s="1"/>
      <c r="H32" s="137" t="str">
        <f t="shared" ref="H32:H33" si="35">IF(C14=0,"OK", IF(L18="SIN CIUDAD DE ENTREGA","SIN CIUDAD DE ENTREGA","OK"))</f>
        <v>OK</v>
      </c>
      <c r="I32" s="1"/>
      <c r="J32" s="1"/>
      <c r="K32" s="1"/>
      <c r="L32" s="1"/>
      <c r="M32" s="138"/>
      <c r="N32" s="138"/>
      <c r="O32" s="1"/>
      <c r="P32" s="1"/>
      <c r="Q32" s="1"/>
      <c r="R32" s="1"/>
      <c r="S32" s="1"/>
      <c r="T32" s="1"/>
      <c r="U32" s="1"/>
      <c r="V32" s="1"/>
      <c r="W32" s="1"/>
      <c r="X32" s="1"/>
      <c r="Y32" s="1"/>
      <c r="Z32" s="1"/>
      <c r="AA32" s="1"/>
      <c r="AB32" s="1"/>
      <c r="AC32" s="1"/>
      <c r="AD32" s="1"/>
      <c r="AE32" s="1"/>
      <c r="AF32" s="1"/>
      <c r="AG32" s="1"/>
      <c r="AH32" s="1"/>
      <c r="AI32" s="1"/>
      <c r="AJ32" s="1"/>
      <c r="AK32" s="1"/>
      <c r="AL32" s="1"/>
    </row>
    <row r="33" ht="15.75" customHeight="1">
      <c r="A33" s="2"/>
      <c r="B33" s="128"/>
      <c r="C33" s="113" t="s">
        <v>68</v>
      </c>
      <c r="D33" s="113" t="b">
        <v>0</v>
      </c>
      <c r="E33" s="82" t="str">
        <f>'3. LCL D'!U7</f>
        <v>#DIV/0!</v>
      </c>
      <c r="F33" s="142" t="str">
        <f>E33/(C14)-1</f>
        <v>#DIV/0!</v>
      </c>
      <c r="G33" s="2"/>
      <c r="H33" s="137" t="str">
        <f t="shared" si="35"/>
        <v>OK</v>
      </c>
      <c r="I33" s="104"/>
      <c r="J33" s="121"/>
      <c r="K33" s="1"/>
      <c r="L33" s="126"/>
      <c r="M33" s="126"/>
      <c r="N33" s="126"/>
      <c r="O33" s="126"/>
      <c r="P33" s="126"/>
      <c r="Q33" s="126"/>
      <c r="R33" s="126"/>
      <c r="S33" s="126"/>
      <c r="T33" s="126"/>
      <c r="U33" s="127"/>
      <c r="V33" s="128"/>
      <c r="W33" s="1"/>
      <c r="X33" s="1"/>
      <c r="Y33" s="1"/>
      <c r="Z33" s="2"/>
      <c r="AA33" s="2"/>
      <c r="AB33" s="2"/>
      <c r="AC33" s="2"/>
      <c r="AD33" s="2"/>
      <c r="AE33" s="2"/>
      <c r="AF33" s="2"/>
      <c r="AG33" s="2"/>
      <c r="AH33" s="2"/>
      <c r="AI33" s="2"/>
      <c r="AJ33" s="2"/>
      <c r="AK33" s="2"/>
      <c r="AL33" s="2"/>
    </row>
    <row r="34" ht="15.75" customHeight="1">
      <c r="A34" s="1"/>
      <c r="B34" s="128"/>
      <c r="C34" s="128"/>
      <c r="D34" s="128"/>
      <c r="E34" s="2"/>
      <c r="F34" s="128"/>
      <c r="G34" s="1"/>
      <c r="H34" s="1" t="str">
        <f>IF(D25=0,"NUMERO DE LEAD"," ")</f>
        <v>NUMERO DE LEAD</v>
      </c>
      <c r="I34" s="1"/>
      <c r="J34" s="121"/>
      <c r="K34" s="1"/>
      <c r="L34" s="126"/>
      <c r="M34" s="126"/>
      <c r="N34" s="126"/>
      <c r="O34" s="126"/>
      <c r="P34" s="126"/>
      <c r="Q34" s="126"/>
      <c r="R34" s="126"/>
      <c r="S34" s="126"/>
      <c r="T34" s="126"/>
      <c r="U34" s="127"/>
      <c r="V34" s="128"/>
      <c r="W34" s="1"/>
      <c r="X34" s="1"/>
      <c r="Y34" s="1"/>
      <c r="Z34" s="2"/>
      <c r="AA34" s="2"/>
      <c r="AB34" s="2"/>
      <c r="AC34" s="2"/>
      <c r="AD34" s="2"/>
      <c r="AE34" s="2"/>
      <c r="AF34" s="2"/>
      <c r="AG34" s="2"/>
      <c r="AH34" s="2"/>
      <c r="AI34" s="2"/>
      <c r="AJ34" s="2"/>
      <c r="AK34" s="2"/>
      <c r="AL34" s="2"/>
    </row>
    <row r="35" ht="15.75" customHeight="1">
      <c r="A35" s="143" t="s">
        <v>83</v>
      </c>
      <c r="B35" s="144"/>
      <c r="C35" s="144"/>
      <c r="D35" s="144"/>
      <c r="E35" s="144"/>
      <c r="F35" s="118"/>
      <c r="G35" s="127"/>
      <c r="H35" s="143" t="s">
        <v>84</v>
      </c>
      <c r="I35" s="144"/>
      <c r="J35" s="144"/>
      <c r="K35" s="118"/>
      <c r="L35" s="126"/>
      <c r="M35" s="126"/>
      <c r="N35" s="126"/>
      <c r="O35" s="126"/>
      <c r="P35" s="126"/>
      <c r="Q35" s="126"/>
      <c r="R35" s="126"/>
      <c r="S35" s="126"/>
      <c r="T35" s="126"/>
      <c r="U35" s="127"/>
      <c r="V35" s="128"/>
      <c r="W35" s="1"/>
      <c r="X35" s="1"/>
      <c r="Y35" s="1"/>
      <c r="Z35" s="2"/>
      <c r="AA35" s="2"/>
      <c r="AB35" s="2"/>
      <c r="AC35" s="2"/>
      <c r="AD35" s="2"/>
      <c r="AE35" s="2"/>
      <c r="AF35" s="2"/>
      <c r="AG35" s="2"/>
      <c r="AH35" s="2"/>
      <c r="AI35" s="2"/>
      <c r="AJ35" s="2"/>
      <c r="AK35" s="2"/>
      <c r="AL35" s="2"/>
    </row>
    <row r="36" ht="28.5" customHeight="1">
      <c r="A36" s="131" t="s">
        <v>15</v>
      </c>
      <c r="B36" s="145"/>
      <c r="C36" s="145" t="s">
        <v>37</v>
      </c>
      <c r="D36" s="131" t="s">
        <v>51</v>
      </c>
      <c r="E36" s="131" t="s">
        <v>85</v>
      </c>
      <c r="F36" s="146" t="s">
        <v>86</v>
      </c>
      <c r="G36" s="2"/>
      <c r="H36" s="147" t="s">
        <v>87</v>
      </c>
      <c r="I36" s="147" t="s">
        <v>88</v>
      </c>
      <c r="J36" s="147" t="s">
        <v>89</v>
      </c>
      <c r="K36" s="147" t="s">
        <v>90</v>
      </c>
      <c r="L36" s="2"/>
      <c r="M36" s="138"/>
      <c r="N36" s="138"/>
      <c r="O36" s="1"/>
      <c r="P36" s="1"/>
      <c r="Q36" s="1"/>
      <c r="R36" s="1"/>
      <c r="S36" s="1"/>
      <c r="T36" s="1"/>
      <c r="U36" s="1"/>
      <c r="V36" s="1"/>
      <c r="W36" s="1"/>
      <c r="X36" s="1"/>
      <c r="Y36" s="1"/>
      <c r="Z36" s="2"/>
      <c r="AA36" s="2"/>
      <c r="AB36" s="2"/>
      <c r="AC36" s="2"/>
      <c r="AD36" s="2"/>
      <c r="AE36" s="2"/>
      <c r="AF36" s="2"/>
      <c r="AG36" s="2"/>
      <c r="AH36" s="2"/>
      <c r="AI36" s="2"/>
      <c r="AJ36" s="2"/>
      <c r="AK36" s="2"/>
      <c r="AL36" s="2"/>
    </row>
    <row r="37" ht="15.75" customHeight="1">
      <c r="A37" s="113" t="s">
        <v>91</v>
      </c>
      <c r="B37" s="148"/>
      <c r="C37" s="148">
        <v>53.57</v>
      </c>
      <c r="D37" s="148">
        <v>50.0</v>
      </c>
      <c r="E37" s="148">
        <v>120.0</v>
      </c>
      <c r="F37" s="148">
        <v>12.0</v>
      </c>
      <c r="G37" s="2"/>
      <c r="H37" s="149" t="s">
        <v>92</v>
      </c>
      <c r="I37" s="149">
        <v>0.0</v>
      </c>
      <c r="J37" s="150">
        <v>0.06</v>
      </c>
      <c r="K37" s="151">
        <v>0.03</v>
      </c>
      <c r="L37" s="2"/>
      <c r="M37" s="138"/>
      <c r="N37" s="138"/>
      <c r="O37" s="1"/>
      <c r="P37" s="1"/>
      <c r="Q37" s="1"/>
      <c r="R37" s="1"/>
      <c r="S37" s="1"/>
      <c r="T37" s="1"/>
      <c r="U37" s="1"/>
      <c r="V37" s="1"/>
      <c r="W37" s="1"/>
      <c r="X37" s="1"/>
      <c r="Y37" s="1"/>
      <c r="Z37" s="2"/>
      <c r="AA37" s="2"/>
      <c r="AB37" s="2"/>
      <c r="AC37" s="2"/>
      <c r="AD37" s="2"/>
      <c r="AE37" s="2"/>
      <c r="AF37" s="2"/>
      <c r="AG37" s="2"/>
      <c r="AH37" s="2"/>
      <c r="AI37" s="2"/>
      <c r="AJ37" s="2"/>
      <c r="AK37" s="2"/>
      <c r="AL37" s="2"/>
    </row>
    <row r="38" ht="15.75" customHeight="1">
      <c r="A38" s="152" t="s">
        <v>93</v>
      </c>
      <c r="B38" s="148"/>
      <c r="C38" s="148">
        <v>45.0</v>
      </c>
      <c r="D38" s="148">
        <v>45.0</v>
      </c>
      <c r="E38" s="148">
        <v>90.0</v>
      </c>
      <c r="F38" s="148">
        <v>11.0</v>
      </c>
      <c r="G38" s="2"/>
      <c r="H38" s="152" t="s">
        <v>94</v>
      </c>
      <c r="I38" s="149">
        <v>5000.0</v>
      </c>
      <c r="J38" s="150">
        <v>0.06</v>
      </c>
      <c r="K38" s="151">
        <v>0.02</v>
      </c>
      <c r="L38" s="2"/>
      <c r="M38" s="153"/>
      <c r="N38" s="153"/>
      <c r="O38" s="1"/>
      <c r="P38" s="1"/>
      <c r="Q38" s="1"/>
      <c r="R38" s="1"/>
      <c r="S38" s="1"/>
      <c r="T38" s="1"/>
      <c r="U38" s="1"/>
      <c r="V38" s="1"/>
      <c r="W38" s="1"/>
      <c r="X38" s="1"/>
      <c r="Y38" s="1"/>
      <c r="Z38" s="2"/>
      <c r="AA38" s="2"/>
      <c r="AB38" s="2"/>
      <c r="AC38" s="2"/>
      <c r="AD38" s="2"/>
      <c r="AE38" s="2"/>
      <c r="AF38" s="2"/>
      <c r="AG38" s="2"/>
      <c r="AH38" s="2"/>
      <c r="AI38" s="2"/>
      <c r="AJ38" s="2"/>
      <c r="AK38" s="2"/>
      <c r="AL38" s="2"/>
    </row>
    <row r="39" ht="15.75" customHeight="1">
      <c r="A39" s="154" t="s">
        <v>95</v>
      </c>
      <c r="B39" s="148"/>
      <c r="C39" s="148">
        <v>37.5</v>
      </c>
      <c r="D39" s="148">
        <v>40.0</v>
      </c>
      <c r="E39" s="148">
        <v>78.0</v>
      </c>
      <c r="F39" s="148">
        <v>10.0</v>
      </c>
      <c r="G39" s="2"/>
      <c r="H39" s="154" t="s">
        <v>96</v>
      </c>
      <c r="I39" s="108">
        <v>10000.0</v>
      </c>
      <c r="J39" s="150">
        <v>0.06</v>
      </c>
      <c r="K39" s="150">
        <v>0.006666666666666667</v>
      </c>
      <c r="L39" s="2"/>
      <c r="M39" s="153"/>
      <c r="N39" s="153"/>
      <c r="O39" s="1"/>
      <c r="P39" s="1"/>
      <c r="Q39" s="1"/>
      <c r="R39" s="1"/>
      <c r="S39" s="1"/>
      <c r="T39" s="1"/>
      <c r="U39" s="1"/>
      <c r="V39" s="1"/>
      <c r="W39" s="1"/>
      <c r="X39" s="1"/>
      <c r="Y39" s="1"/>
      <c r="Z39" s="2"/>
      <c r="AA39" s="2"/>
      <c r="AB39" s="2"/>
      <c r="AC39" s="2"/>
      <c r="AD39" s="2"/>
      <c r="AE39" s="2"/>
      <c r="AF39" s="2"/>
      <c r="AG39" s="2"/>
      <c r="AH39" s="2"/>
      <c r="AI39" s="2"/>
      <c r="AJ39" s="2"/>
      <c r="AK39" s="2"/>
      <c r="AL39" s="2"/>
    </row>
    <row r="40" ht="15.75" customHeight="1">
      <c r="A40" s="155" t="s">
        <v>97</v>
      </c>
      <c r="B40" s="148"/>
      <c r="C40" s="148">
        <v>30.0</v>
      </c>
      <c r="D40" s="148">
        <v>35.0</v>
      </c>
      <c r="E40" s="148">
        <v>65.0</v>
      </c>
      <c r="F40" s="148">
        <v>9.0</v>
      </c>
      <c r="G40" s="2"/>
      <c r="H40" s="155" t="s">
        <v>98</v>
      </c>
      <c r="I40" s="108">
        <v>15000.0</v>
      </c>
      <c r="J40" s="150">
        <v>0.06</v>
      </c>
      <c r="K40" s="150">
        <v>0.005</v>
      </c>
      <c r="L40" s="2"/>
      <c r="M40" s="153"/>
      <c r="N40" s="153"/>
      <c r="O40" s="1"/>
      <c r="P40" s="1"/>
      <c r="Q40" s="1"/>
      <c r="R40" s="1"/>
      <c r="S40" s="1"/>
      <c r="T40" s="1"/>
      <c r="U40" s="1"/>
      <c r="V40" s="1"/>
      <c r="W40" s="1"/>
      <c r="X40" s="1"/>
      <c r="Y40" s="1"/>
      <c r="Z40" s="2"/>
      <c r="AA40" s="2"/>
      <c r="AB40" s="2"/>
      <c r="AC40" s="2"/>
      <c r="AD40" s="2"/>
      <c r="AE40" s="2"/>
      <c r="AF40" s="2"/>
      <c r="AG40" s="2"/>
      <c r="AH40" s="2"/>
      <c r="AI40" s="2"/>
      <c r="AJ40" s="2"/>
      <c r="AK40" s="2"/>
      <c r="AL40" s="2"/>
    </row>
    <row r="41" ht="15.75" customHeight="1">
      <c r="A41" s="1"/>
      <c r="B41" s="128"/>
      <c r="C41" s="128"/>
      <c r="D41" s="1"/>
      <c r="E41" s="1"/>
      <c r="F41" s="1"/>
      <c r="G41" s="128"/>
      <c r="H41" s="156" t="s">
        <v>99</v>
      </c>
      <c r="I41" s="108">
        <v>20000.0</v>
      </c>
      <c r="J41" s="150">
        <v>0.06</v>
      </c>
      <c r="K41" s="150">
        <v>0.0033</v>
      </c>
      <c r="L41" s="2"/>
      <c r="M41" s="153"/>
      <c r="N41" s="153"/>
      <c r="O41" s="1"/>
      <c r="P41" s="1"/>
      <c r="Q41" s="1"/>
      <c r="R41" s="1"/>
      <c r="S41" s="1"/>
      <c r="T41" s="1"/>
      <c r="U41" s="1"/>
      <c r="V41" s="1"/>
      <c r="W41" s="1"/>
      <c r="X41" s="1"/>
      <c r="Y41" s="1"/>
      <c r="Z41" s="2"/>
      <c r="AA41" s="2"/>
      <c r="AB41" s="2"/>
      <c r="AC41" s="2"/>
      <c r="AD41" s="2"/>
      <c r="AE41" s="2"/>
      <c r="AF41" s="2"/>
      <c r="AG41" s="2"/>
      <c r="AH41" s="2"/>
      <c r="AI41" s="2"/>
      <c r="AJ41" s="2"/>
      <c r="AK41" s="2"/>
      <c r="AL41" s="2"/>
    </row>
    <row r="42" ht="15.75" customHeight="1">
      <c r="A42" s="143" t="s">
        <v>100</v>
      </c>
      <c r="B42" s="144"/>
      <c r="C42" s="144"/>
      <c r="D42" s="144"/>
      <c r="E42" s="144"/>
      <c r="F42" s="118"/>
      <c r="G42" s="1"/>
      <c r="H42" s="157" t="s">
        <v>101</v>
      </c>
      <c r="I42" s="158">
        <v>30000.0</v>
      </c>
      <c r="J42" s="150" t="s">
        <v>102</v>
      </c>
      <c r="K42" s="150" t="s">
        <v>102</v>
      </c>
      <c r="L42" s="2"/>
      <c r="M42" s="153"/>
      <c r="N42" s="138"/>
      <c r="O42" s="1"/>
      <c r="P42" s="1"/>
      <c r="Q42" s="1"/>
      <c r="R42" s="1"/>
      <c r="S42" s="1"/>
      <c r="T42" s="1"/>
      <c r="U42" s="1"/>
      <c r="V42" s="1"/>
      <c r="W42" s="1"/>
      <c r="X42" s="1"/>
      <c r="Y42" s="1"/>
      <c r="Z42" s="2"/>
      <c r="AA42" s="2"/>
      <c r="AB42" s="2"/>
      <c r="AC42" s="2"/>
      <c r="AD42" s="2"/>
      <c r="AE42" s="2"/>
      <c r="AF42" s="2"/>
      <c r="AG42" s="2"/>
      <c r="AH42" s="2"/>
      <c r="AI42" s="2"/>
      <c r="AJ42" s="2"/>
      <c r="AK42" s="2"/>
      <c r="AL42" s="2"/>
    </row>
    <row r="43" ht="53.25" customHeight="1">
      <c r="A43" s="131" t="s">
        <v>103</v>
      </c>
      <c r="B43" s="131"/>
      <c r="C43" s="131" t="s">
        <v>104</v>
      </c>
      <c r="D43" s="131" t="s">
        <v>105</v>
      </c>
      <c r="E43" s="131"/>
      <c r="F43" s="136"/>
      <c r="G43" s="1"/>
      <c r="H43" s="1"/>
      <c r="I43" s="1"/>
      <c r="J43" s="1"/>
      <c r="K43" s="1"/>
      <c r="L43" s="1"/>
      <c r="M43" s="153"/>
      <c r="N43" s="138"/>
      <c r="O43" s="1"/>
      <c r="P43" s="1"/>
      <c r="Q43" s="1"/>
      <c r="R43" s="1"/>
      <c r="S43" s="1"/>
      <c r="T43" s="1"/>
      <c r="U43" s="1"/>
      <c r="V43" s="1"/>
      <c r="W43" s="1"/>
      <c r="X43" s="1"/>
      <c r="Y43" s="1"/>
      <c r="Z43" s="2"/>
      <c r="AA43" s="2"/>
      <c r="AB43" s="2"/>
      <c r="AC43" s="2"/>
      <c r="AD43" s="2"/>
      <c r="AE43" s="2"/>
      <c r="AF43" s="2"/>
      <c r="AG43" s="2"/>
      <c r="AH43" s="2"/>
      <c r="AI43" s="2"/>
      <c r="AJ43" s="2"/>
      <c r="AK43" s="2"/>
      <c r="AL43" s="2"/>
    </row>
    <row r="44" ht="15.75" customHeight="1">
      <c r="A44" s="113" t="s">
        <v>106</v>
      </c>
      <c r="B44" s="148"/>
      <c r="C44" s="148">
        <v>10.0</v>
      </c>
      <c r="D44" s="148">
        <f>IF(D18=TRUE,IF(D17=0,"ERROR",D17*C44),0)</f>
        <v>0</v>
      </c>
      <c r="E44" s="148"/>
      <c r="F44" s="148"/>
      <c r="G44" s="1"/>
      <c r="H44" s="1"/>
      <c r="I44" s="1"/>
      <c r="J44" s="1"/>
      <c r="K44" s="1"/>
      <c r="L44" s="1"/>
      <c r="M44" s="153"/>
      <c r="N44" s="138"/>
      <c r="O44" s="1"/>
      <c r="P44" s="1"/>
      <c r="Q44" s="1"/>
      <c r="R44" s="1"/>
      <c r="S44" s="1"/>
      <c r="T44" s="1"/>
      <c r="U44" s="1"/>
      <c r="V44" s="1"/>
      <c r="W44" s="1"/>
      <c r="X44" s="1"/>
      <c r="Y44" s="1"/>
      <c r="Z44" s="2"/>
      <c r="AA44" s="2"/>
      <c r="AB44" s="2"/>
      <c r="AC44" s="2"/>
      <c r="AD44" s="2"/>
      <c r="AE44" s="2"/>
      <c r="AF44" s="2"/>
      <c r="AG44" s="2"/>
      <c r="AH44" s="2"/>
      <c r="AI44" s="2"/>
      <c r="AJ44" s="2"/>
      <c r="AK44" s="2"/>
      <c r="AL44" s="2"/>
    </row>
    <row r="45" ht="15.75" customHeight="1">
      <c r="A45" s="1"/>
      <c r="B45" s="1"/>
      <c r="C45" s="1"/>
      <c r="D45" s="1"/>
      <c r="E45" s="1"/>
      <c r="F45" s="1"/>
      <c r="G45" s="1"/>
      <c r="H45" s="1"/>
      <c r="I45" s="1"/>
      <c r="J45" s="1"/>
      <c r="K45" s="1"/>
      <c r="L45" s="1"/>
      <c r="M45" s="138"/>
      <c r="N45" s="138"/>
      <c r="O45" s="1"/>
      <c r="P45" s="1"/>
      <c r="Q45" s="1"/>
      <c r="R45" s="1"/>
      <c r="S45" s="1"/>
      <c r="T45" s="1"/>
      <c r="U45" s="1"/>
      <c r="V45" s="1"/>
      <c r="W45" s="1"/>
      <c r="X45" s="1"/>
      <c r="Y45" s="1"/>
      <c r="Z45" s="1"/>
      <c r="AA45" s="1"/>
      <c r="AB45" s="1"/>
      <c r="AC45" s="1"/>
      <c r="AD45" s="1"/>
      <c r="AE45" s="1"/>
      <c r="AF45" s="1"/>
      <c r="AG45" s="1"/>
      <c r="AH45" s="1"/>
      <c r="AI45" s="1"/>
      <c r="AJ45" s="1"/>
      <c r="AK45" s="1"/>
      <c r="AL45" s="1"/>
    </row>
    <row r="46" ht="15.75" customHeight="1">
      <c r="A46" s="1"/>
      <c r="B46" s="1"/>
      <c r="C46" s="1"/>
      <c r="D46" s="1"/>
      <c r="E46" s="1"/>
      <c r="F46" s="1"/>
      <c r="G46" s="1"/>
      <c r="H46" s="1"/>
      <c r="I46" s="1"/>
      <c r="J46" s="1"/>
      <c r="K46" s="1"/>
      <c r="L46" s="1"/>
      <c r="M46" s="138"/>
      <c r="N46" s="138"/>
      <c r="O46" s="1"/>
      <c r="P46" s="1"/>
      <c r="Q46" s="1"/>
      <c r="R46" s="1"/>
      <c r="S46" s="1"/>
      <c r="T46" s="1"/>
      <c r="U46" s="1"/>
      <c r="V46" s="1"/>
      <c r="W46" s="1"/>
      <c r="X46" s="1"/>
      <c r="Y46" s="1"/>
      <c r="Z46" s="1"/>
      <c r="AA46" s="1"/>
      <c r="AB46" s="1"/>
      <c r="AC46" s="1"/>
      <c r="AD46" s="1"/>
      <c r="AE46" s="1"/>
      <c r="AF46" s="1"/>
      <c r="AG46" s="1"/>
      <c r="AH46" s="1"/>
      <c r="AI46" s="1"/>
      <c r="AJ46" s="1"/>
      <c r="AK46" s="1"/>
      <c r="AL46" s="1"/>
    </row>
    <row r="47" ht="15.75" customHeight="1">
      <c r="A47" s="1"/>
      <c r="B47" s="1"/>
      <c r="C47" s="1"/>
      <c r="D47" s="1"/>
      <c r="E47" s="1"/>
      <c r="F47" s="1"/>
      <c r="G47" s="1"/>
      <c r="H47" s="1"/>
      <c r="I47" s="1"/>
      <c r="J47" s="1"/>
      <c r="K47" s="1"/>
      <c r="L47" s="1"/>
      <c r="M47" s="138"/>
      <c r="N47" s="138"/>
      <c r="O47" s="1"/>
      <c r="P47" s="1"/>
      <c r="Q47" s="1"/>
      <c r="R47" s="1"/>
      <c r="S47" s="1"/>
      <c r="T47" s="1"/>
      <c r="U47" s="1"/>
      <c r="V47" s="1"/>
      <c r="W47" s="1"/>
      <c r="X47" s="1"/>
      <c r="Y47" s="1"/>
      <c r="Z47" s="1"/>
      <c r="AA47" s="1"/>
      <c r="AB47" s="1"/>
      <c r="AC47" s="1"/>
      <c r="AD47" s="1"/>
      <c r="AE47" s="1"/>
      <c r="AF47" s="1"/>
      <c r="AG47" s="1"/>
      <c r="AH47" s="1"/>
      <c r="AI47" s="1"/>
      <c r="AJ47" s="1"/>
      <c r="AK47" s="1"/>
      <c r="AL47" s="1"/>
    </row>
    <row r="48" ht="15.75" customHeight="1">
      <c r="A48" s="128"/>
      <c r="B48" s="1"/>
      <c r="C48" s="1"/>
      <c r="D48" s="1"/>
      <c r="E48" s="1"/>
      <c r="F48" s="1"/>
      <c r="G48" s="1"/>
      <c r="H48" s="1"/>
      <c r="I48" s="1"/>
      <c r="J48" s="1"/>
      <c r="K48" s="1"/>
      <c r="L48" s="1"/>
      <c r="M48" s="138"/>
      <c r="N48" s="138"/>
      <c r="O48" s="1"/>
      <c r="P48" s="1"/>
      <c r="Q48" s="1"/>
      <c r="R48" s="1"/>
      <c r="S48" s="1"/>
      <c r="T48" s="1"/>
      <c r="U48" s="1"/>
      <c r="V48" s="1"/>
      <c r="W48" s="1"/>
      <c r="X48" s="1"/>
      <c r="Y48" s="1"/>
      <c r="Z48" s="1"/>
      <c r="AA48" s="1"/>
      <c r="AB48" s="1"/>
      <c r="AC48" s="1"/>
      <c r="AD48" s="1"/>
      <c r="AE48" s="1"/>
      <c r="AF48" s="1"/>
      <c r="AG48" s="1"/>
      <c r="AH48" s="1"/>
      <c r="AI48" s="1"/>
      <c r="AJ48" s="1"/>
      <c r="AK48" s="1"/>
      <c r="AL48" s="1"/>
    </row>
    <row r="49" ht="15.75" customHeight="1">
      <c r="A49" s="1"/>
      <c r="B49" s="1"/>
      <c r="C49" s="1"/>
      <c r="D49" s="1"/>
      <c r="E49" s="1"/>
      <c r="F49" s="1"/>
      <c r="G49" s="1"/>
      <c r="H49" s="1"/>
      <c r="I49" s="1"/>
      <c r="J49" s="1"/>
      <c r="K49" s="1"/>
      <c r="L49" s="1"/>
      <c r="M49" s="138"/>
      <c r="N49" s="138"/>
      <c r="O49" s="1"/>
      <c r="P49" s="1"/>
      <c r="Q49" s="1"/>
      <c r="R49" s="1"/>
      <c r="S49" s="1"/>
      <c r="T49" s="1"/>
      <c r="U49" s="1"/>
      <c r="V49" s="1"/>
      <c r="W49" s="1"/>
      <c r="X49" s="1"/>
      <c r="Y49" s="1"/>
      <c r="Z49" s="1"/>
      <c r="AA49" s="1"/>
      <c r="AB49" s="1"/>
      <c r="AC49" s="1"/>
      <c r="AD49" s="1"/>
      <c r="AE49" s="1"/>
      <c r="AF49" s="1"/>
      <c r="AG49" s="1"/>
      <c r="AH49" s="1"/>
      <c r="AI49" s="1"/>
      <c r="AJ49" s="1"/>
      <c r="AK49" s="1"/>
      <c r="AL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5.75" customHeight="1">
      <c r="A312" s="1"/>
      <c r="B312" s="2"/>
      <c r="C312" s="2"/>
      <c r="D312" s="2"/>
      <c r="E312" s="2"/>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5.75" customHeight="1">
      <c r="A313" s="1"/>
      <c r="B313" s="2"/>
      <c r="C313" s="2"/>
      <c r="D313" s="2"/>
      <c r="E313" s="2"/>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5.75" customHeight="1">
      <c r="A314" s="2"/>
      <c r="B314" s="2"/>
      <c r="C314" s="2"/>
      <c r="D314" s="2"/>
      <c r="E314" s="2"/>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5.75" customHeight="1">
      <c r="A315" s="2"/>
      <c r="B315" s="2"/>
      <c r="C315" s="2"/>
      <c r="D315" s="2"/>
      <c r="E315" s="2"/>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5.75" customHeight="1">
      <c r="A316" s="2"/>
      <c r="B316" s="2"/>
      <c r="C316" s="2"/>
      <c r="D316" s="2"/>
      <c r="E316" s="2"/>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sheetData>
  <mergeCells count="6">
    <mergeCell ref="L18:M18"/>
    <mergeCell ref="A20:A23"/>
    <mergeCell ref="C28:D28"/>
    <mergeCell ref="A35:F35"/>
    <mergeCell ref="H35:K35"/>
    <mergeCell ref="A42:F42"/>
  </mergeCells>
  <conditionalFormatting sqref="M3:Y5 AD3:AD5">
    <cfRule type="containsBlanks" dxfId="4" priority="1">
      <formula>LEN(TRIM(M3))=0</formula>
    </cfRule>
  </conditionalFormatting>
  <conditionalFormatting sqref="R3:R5">
    <cfRule type="cellIs" dxfId="5" priority="2" operator="greaterThanOrEqual">
      <formula>Q3*1000</formula>
    </cfRule>
  </conditionalFormatting>
  <conditionalFormatting sqref="R3:R5">
    <cfRule type="cellIs" dxfId="6" priority="3" operator="greaterThanOrEqual">
      <formula>0.9*Q3*1000</formula>
    </cfRule>
  </conditionalFormatting>
  <conditionalFormatting sqref="R3:R5">
    <cfRule type="cellIs" dxfId="7" priority="4" operator="greaterThanOrEqual">
      <formula>0.75*Q3*1000</formula>
    </cfRule>
  </conditionalFormatting>
  <conditionalFormatting sqref="R3:R5">
    <cfRule type="cellIs" dxfId="8" priority="5" operator="greaterThanOrEqual">
      <formula>50</formula>
    </cfRule>
  </conditionalFormatting>
  <conditionalFormatting sqref="H14:I14">
    <cfRule type="containsBlanks" dxfId="4" priority="6">
      <formula>LEN(TRIM(H14))=0</formula>
    </cfRule>
  </conditionalFormatting>
  <conditionalFormatting sqref="J14:K14">
    <cfRule type="containsBlanks" dxfId="8" priority="7">
      <formula>LEN(TRIM(J14))=0</formula>
    </cfRule>
  </conditionalFormatting>
  <conditionalFormatting sqref="S3:X5">
    <cfRule type="containsBlanks" dxfId="4" priority="8">
      <formula>LEN(TRIM(S3))=0</formula>
    </cfRule>
  </conditionalFormatting>
  <conditionalFormatting sqref="A3:B5">
    <cfRule type="containsBlanks" dxfId="9" priority="9">
      <formula>LEN(TRIM(A3))=0</formula>
    </cfRule>
  </conditionalFormatting>
  <conditionalFormatting sqref="Q6">
    <cfRule type="cellIs" dxfId="10" priority="10" operator="between">
      <formula>3.1</formula>
      <formula>20</formula>
    </cfRule>
  </conditionalFormatting>
  <conditionalFormatting sqref="Q6">
    <cfRule type="cellIs" dxfId="11" priority="11" operator="between">
      <formula>20.1</formula>
      <formula>30</formula>
    </cfRule>
  </conditionalFormatting>
  <conditionalFormatting sqref="Q6">
    <cfRule type="cellIs" dxfId="12" priority="12" operator="between">
      <formula>30.1</formula>
      <formula>45</formula>
    </cfRule>
  </conditionalFormatting>
  <conditionalFormatting sqref="Q6">
    <cfRule type="cellIs" dxfId="13" priority="13" operator="between">
      <formula>45.1</formula>
      <formula>48</formula>
    </cfRule>
  </conditionalFormatting>
  <conditionalFormatting sqref="Q6">
    <cfRule type="cellIs" dxfId="14" priority="14" operator="between">
      <formula>50.1</formula>
      <formula>60</formula>
    </cfRule>
  </conditionalFormatting>
  <conditionalFormatting sqref="Q6">
    <cfRule type="cellIs" dxfId="15" priority="15" operator="between">
      <formula>48.1</formula>
      <formula>50</formula>
    </cfRule>
  </conditionalFormatting>
  <conditionalFormatting sqref="Q6">
    <cfRule type="cellIs" dxfId="16" priority="16" operator="between">
      <formula>60.1</formula>
      <formula>68</formula>
    </cfRule>
  </conditionalFormatting>
  <conditionalFormatting sqref="B3:F5">
    <cfRule type="containsBlanks" dxfId="4" priority="17">
      <formula>LEN(TRIM(B3))=0</formula>
    </cfRule>
  </conditionalFormatting>
  <conditionalFormatting sqref="B3:H5 J3:K5 K18">
    <cfRule type="containsBlanks" dxfId="4" priority="18">
      <formula>LEN(TRIM(B3))=0</formula>
    </cfRule>
  </conditionalFormatting>
  <conditionalFormatting sqref="T3:Y5 AD3:AD5">
    <cfRule type="containsText" dxfId="17" priority="19" operator="containsText" text="2000">
      <formula>NOT(ISERROR(SEARCH(("2000"),(T3))))</formula>
    </cfRule>
  </conditionalFormatting>
  <conditionalFormatting sqref="R3:R5">
    <cfRule type="containsBlanks" dxfId="4" priority="20">
      <formula>LEN(TRIM(R3))=0</formula>
    </cfRule>
  </conditionalFormatting>
  <conditionalFormatting sqref="E3:H5 J3:N5">
    <cfRule type="containsBlanks" dxfId="4" priority="21">
      <formula>LEN(TRIM(E3))=0</formula>
    </cfRule>
  </conditionalFormatting>
  <conditionalFormatting sqref="H3:H5 J3:P5">
    <cfRule type="containsBlanks" dxfId="4" priority="22">
      <formula>LEN(TRIM(H3))=0</formula>
    </cfRule>
  </conditionalFormatting>
  <conditionalFormatting sqref="K3:Q5 S3:V5">
    <cfRule type="containsBlanks" dxfId="4" priority="23">
      <formula>LEN(TRIM(K3))=0</formula>
    </cfRule>
  </conditionalFormatting>
  <conditionalFormatting sqref="T3:Y5 AD3:AD5">
    <cfRule type="containsText" dxfId="18" priority="24" operator="containsText" text="0">
      <formula>NOT(ISERROR(SEARCH(("0"),(T3))))</formula>
    </cfRule>
  </conditionalFormatting>
  <conditionalFormatting sqref="B15:C15">
    <cfRule type="containsText" dxfId="19" priority="25" operator="containsText" text="no coincide">
      <formula>NOT(ISERROR(SEARCH(("no coincide"),(B15))))</formula>
    </cfRule>
  </conditionalFormatting>
  <conditionalFormatting sqref="J11:K13">
    <cfRule type="containsBlanks" dxfId="4" priority="26">
      <formula>LEN(TRIM(J11))=0</formula>
    </cfRule>
  </conditionalFormatting>
  <conditionalFormatting sqref="Q6:Y6 AA6:AD6">
    <cfRule type="notContainsBlanks" dxfId="20" priority="27">
      <formula>LEN(TRIM(Q6))&gt;0</formula>
    </cfRule>
  </conditionalFormatting>
  <conditionalFormatting sqref="Q3:S5 W3:AA5 AD3:AD5">
    <cfRule type="containsBlanks" dxfId="21" priority="28">
      <formula>LEN(TRIM(Q3))=0</formula>
    </cfRule>
  </conditionalFormatting>
  <conditionalFormatting sqref="A30">
    <cfRule type="notContainsBlanks" dxfId="22" priority="29">
      <formula>LEN(TRIM(A30))&gt;0</formula>
    </cfRule>
  </conditionalFormatting>
  <conditionalFormatting sqref="B20:B27 C25 C27">
    <cfRule type="containsText" dxfId="23" priority="30" operator="containsText" text="IMPUESTOS ESPECIFICOS">
      <formula>NOT(ISERROR(SEARCH(("IMPUESTOS ESPECIFICOS"),(B20))))</formula>
    </cfRule>
  </conditionalFormatting>
  <conditionalFormatting sqref="O11:O13">
    <cfRule type="containsText" dxfId="23" priority="31" operator="containsText" text="IMP ESP">
      <formula>NOT(ISERROR(SEARCH(("IMP ESP"),(O11))))</formula>
    </cfRule>
  </conditionalFormatting>
  <conditionalFormatting sqref="D25">
    <cfRule type="containsBlanks" dxfId="23" priority="32">
      <formula>LEN(TRIM(D25))=0</formula>
    </cfRule>
  </conditionalFormatting>
  <conditionalFormatting sqref="H34">
    <cfRule type="containsText" dxfId="23" priority="33" operator="containsText" text="NUMERO DE LEAD">
      <formula>NOT(ISERROR(SEARCH(("NUMERO DE LEAD"),(H34))))</formula>
    </cfRule>
  </conditionalFormatting>
  <dataValidations>
    <dataValidation type="list" allowBlank="1" sqref="C3:C5">
      <formula1>"PA,PB,PC,PD,PE,PF,PG,PH,PI,PJ,PK,PL,PM,PN,PO,PP,PQ,PR"</formula1>
    </dataValidation>
    <dataValidation type="list" allowBlank="1" sqref="Y3:Y5 AD3:AD5">
      <formula1>"NO,INEN 0,INEN 2000 NO CONTROLADO,INEN 2000 CONTROLADO,SUGERENCIA ARCSA,ARCSA,MIPRO,AGROCALIDAD,IMPUESTOS ESPECIFICOS,IMP ESPECIFICO+INEN,ARCSA+INEN,OTRO PERMISO VER COMENTARIO"</formula1>
    </dataValidation>
    <dataValidation type="list" allowBlank="1" sqref="I3:I5">
      <formula1>"ROLLOS,PZA,KG,SET,M,M2,TM,CAJ,M3,YD,PAR,BOLSA"</formula1>
    </dataValidation>
    <dataValidation type="list" allowBlank="1" showErrorMessage="1" sqref="D23">
      <formula1>"DOCUMENTAL,FISICA,NO"</formula1>
    </dataValidation>
    <dataValidation type="list" allowBlank="1" showErrorMessage="1" sqref="D24">
      <formula1>"SI,NO"</formula1>
    </dataValidation>
  </dataValidations>
  <hyperlinks>
    <hyperlink r:id="rId2" ref="F3"/>
    <hyperlink r:id="rId3" ref="F4"/>
    <hyperlink r:id="rId4" ref="F5"/>
  </hyperlinks>
  <printOptions/>
  <pageMargins bottom="0.75" footer="0.0" header="0.0" left="0.7" right="0.7" top="0.75"/>
  <pageSetup paperSize="9" orientation="landscape"/>
  <drawing r:id="rId5"/>
  <legacy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3.57"/>
    <col customWidth="1" min="4" max="4" width="14.0"/>
    <col customWidth="1" min="5" max="5" width="12.0"/>
    <col customWidth="1" min="6" max="6" width="10.43"/>
    <col customWidth="1" min="7" max="7" width="13.0"/>
    <col customWidth="1" min="8" max="8" width="16.14"/>
    <col customWidth="1" min="9" max="9" width="12.14"/>
    <col customWidth="1" min="10" max="10" width="13.14"/>
    <col customWidth="1" min="11" max="11" width="8.57"/>
    <col customWidth="1" min="12" max="12" width="8.29"/>
    <col customWidth="1" min="13" max="13" width="11.0"/>
    <col customWidth="1" min="14" max="14" width="10.29"/>
    <col customWidth="1" min="15" max="16" width="10.43"/>
    <col customWidth="1" min="17" max="18" width="10.0"/>
    <col customWidth="1" min="19" max="19" width="12.14"/>
    <col customWidth="1" min="20" max="20" width="9.86"/>
  </cols>
  <sheetData>
    <row r="1">
      <c r="A1" s="69" t="s">
        <v>3</v>
      </c>
      <c r="B1" s="70" t="s">
        <v>36</v>
      </c>
      <c r="C1" s="70" t="s">
        <v>107</v>
      </c>
      <c r="D1" s="70" t="s">
        <v>38</v>
      </c>
      <c r="E1" s="70" t="s">
        <v>39</v>
      </c>
      <c r="F1" s="70" t="s">
        <v>40</v>
      </c>
      <c r="G1" s="70" t="s">
        <v>108</v>
      </c>
      <c r="H1" s="70" t="str">
        <f>"VERIFICACION DEL PROVEEDOR"&amp;" "&amp;'1.CÁL'!D23</f>
        <v>VERIFICACION DEL PROVEEDOR NO</v>
      </c>
      <c r="I1" s="70" t="s">
        <v>109</v>
      </c>
      <c r="J1" s="70" t="s">
        <v>110</v>
      </c>
      <c r="K1" s="70" t="s">
        <v>46</v>
      </c>
      <c r="L1" s="70" t="s">
        <v>111</v>
      </c>
      <c r="M1" s="70" t="s">
        <v>48</v>
      </c>
      <c r="N1" s="70" t="s">
        <v>112</v>
      </c>
      <c r="O1" s="70" t="s">
        <v>50</v>
      </c>
      <c r="P1" s="70" t="s">
        <v>113</v>
      </c>
      <c r="Q1" s="73" t="s">
        <v>114</v>
      </c>
      <c r="R1" s="70" t="s">
        <v>115</v>
      </c>
      <c r="S1" s="70" t="s">
        <v>116</v>
      </c>
      <c r="T1" s="73" t="s">
        <v>73</v>
      </c>
      <c r="U1" s="78" t="s">
        <v>56</v>
      </c>
      <c r="V1" s="78" t="s">
        <v>57</v>
      </c>
    </row>
    <row r="2">
      <c r="A2" s="81" t="str">
        <f>'1.CÁL'!D3</f>
        <v/>
      </c>
      <c r="B2" s="159">
        <f>'1.CÁL'!O3</f>
        <v>0</v>
      </c>
      <c r="C2" s="160" t="str">
        <f t="shared" ref="C2:C4" si="1">B2*$C$5/$B$5</f>
        <v>#DIV/0!</v>
      </c>
      <c r="D2" s="160" t="str">
        <f t="shared" ref="D2:D4" si="2">B2*$D$5/$B$5</f>
        <v>#DIV/0!</v>
      </c>
      <c r="E2" s="160" t="str">
        <f t="shared" ref="E2:E4" si="3">B2*$E$5/$B$5</f>
        <v>#DIV/0!</v>
      </c>
      <c r="F2" s="159" t="str">
        <f t="shared" ref="F2:F4" si="4">B2*$F$5/$B$5</f>
        <v>#DIV/0!</v>
      </c>
      <c r="G2" s="159" t="str">
        <f t="shared" ref="G2:G4" si="5">B2*$G$5/$B$5</f>
        <v>#DIV/0!</v>
      </c>
      <c r="H2" s="161" t="str">
        <f t="shared" ref="H2:H4" si="6">B2*$H$5/$B$5</f>
        <v>#DIV/0!</v>
      </c>
      <c r="I2" s="162" t="str">
        <f t="shared" ref="I2:I4" si="7">B2*$I$5/$B$5</f>
        <v>#DIV/0!</v>
      </c>
      <c r="J2" s="163" t="str">
        <f>(B2+C2+E2+D2)*'1.CÁL'!W3</f>
        <v>#DIV/0!</v>
      </c>
      <c r="K2" s="163" t="str">
        <f t="shared" ref="K2:K4" si="8">+(B2+D2+C2+E2)*0.5%</f>
        <v>#DIV/0!</v>
      </c>
      <c r="L2" s="164" t="str">
        <f>(B2+C2+D2+E2+J2+K2)*(100%+'1.CÁL'!Z3)*'1.CÁL'!AA3</f>
        <v>#DIV/0!</v>
      </c>
      <c r="M2" s="165">
        <f>'1.CÁL'!O11</f>
        <v>0</v>
      </c>
      <c r="N2" s="165" t="str">
        <f t="shared" ref="N2:N4" si="9">+(B2+C2+D2+E2+J2+K2+L2+M2)*15%</f>
        <v>#DIV/0!</v>
      </c>
      <c r="O2" s="88" t="str">
        <f t="shared" ref="O2:O4" si="10">B2*$O$5/$B$5</f>
        <v>#DIV/0!</v>
      </c>
      <c r="P2" s="166" t="str">
        <f t="shared" ref="P2:P4" si="11">B2*$P$5/$B$5</f>
        <v>#DIV/0!</v>
      </c>
      <c r="Q2" s="166" t="str">
        <f t="shared" ref="Q2:Q4" si="12">B2*$Q$5/$B$5</f>
        <v>#DIV/0!</v>
      </c>
      <c r="R2" s="167" t="str">
        <f t="shared" ref="R2:R4" si="13">B2*$R$5/$B$5</f>
        <v>#DIV/0!</v>
      </c>
      <c r="S2" s="163" t="str">
        <f t="shared" ref="S2:S4" si="14">B2*$S$5/$B$5</f>
        <v>#DIV/0!</v>
      </c>
      <c r="T2" s="167" t="str">
        <f t="shared" ref="T2:T4" si="15">B2*$T$5/$B$5</f>
        <v>#DIV/0!</v>
      </c>
      <c r="U2" s="159" t="str">
        <f t="shared" ref="U2:U6" si="16">SUM(B2:T2)</f>
        <v>#DIV/0!</v>
      </c>
      <c r="V2" s="168" t="str">
        <f>U2/'1.CÁL'!L3</f>
        <v>#DIV/0!</v>
      </c>
    </row>
    <row r="3">
      <c r="A3" s="81" t="str">
        <f>'1.CÁL'!D4</f>
        <v/>
      </c>
      <c r="B3" s="159">
        <f>'1.CÁL'!O4</f>
        <v>0</v>
      </c>
      <c r="C3" s="160" t="str">
        <f t="shared" si="1"/>
        <v>#DIV/0!</v>
      </c>
      <c r="D3" s="160" t="str">
        <f t="shared" si="2"/>
        <v>#DIV/0!</v>
      </c>
      <c r="E3" s="160" t="str">
        <f t="shared" si="3"/>
        <v>#DIV/0!</v>
      </c>
      <c r="F3" s="159" t="str">
        <f t="shared" si="4"/>
        <v>#DIV/0!</v>
      </c>
      <c r="G3" s="159" t="str">
        <f t="shared" si="5"/>
        <v>#DIV/0!</v>
      </c>
      <c r="H3" s="161" t="str">
        <f t="shared" si="6"/>
        <v>#DIV/0!</v>
      </c>
      <c r="I3" s="162" t="str">
        <f t="shared" si="7"/>
        <v>#DIV/0!</v>
      </c>
      <c r="J3" s="163" t="str">
        <f>(B3+C3+E3+D3)*'1.CÁL'!W4</f>
        <v>#DIV/0!</v>
      </c>
      <c r="K3" s="163" t="str">
        <f t="shared" si="8"/>
        <v>#DIV/0!</v>
      </c>
      <c r="L3" s="164" t="str">
        <f>(B3+C3+D3+E3+J3+K3)*(100%+'1.CÁL'!Z4)*'1.CÁL'!AA4</f>
        <v>#DIV/0!</v>
      </c>
      <c r="M3" s="165">
        <f>'1.CÁL'!O12</f>
        <v>0</v>
      </c>
      <c r="N3" s="165" t="str">
        <f t="shared" si="9"/>
        <v>#DIV/0!</v>
      </c>
      <c r="O3" s="88" t="str">
        <f t="shared" si="10"/>
        <v>#DIV/0!</v>
      </c>
      <c r="P3" s="166" t="str">
        <f t="shared" si="11"/>
        <v>#DIV/0!</v>
      </c>
      <c r="Q3" s="166" t="str">
        <f t="shared" si="12"/>
        <v>#DIV/0!</v>
      </c>
      <c r="R3" s="167" t="str">
        <f t="shared" si="13"/>
        <v>#DIV/0!</v>
      </c>
      <c r="S3" s="163" t="str">
        <f t="shared" si="14"/>
        <v>#DIV/0!</v>
      </c>
      <c r="T3" s="167" t="str">
        <f t="shared" si="15"/>
        <v>#DIV/0!</v>
      </c>
      <c r="U3" s="159" t="str">
        <f t="shared" si="16"/>
        <v>#DIV/0!</v>
      </c>
      <c r="V3" s="168" t="str">
        <f>U3/'1.CÁL'!L4</f>
        <v>#DIV/0!</v>
      </c>
    </row>
    <row r="4">
      <c r="A4" s="81" t="str">
        <f>'1.CÁL'!D5</f>
        <v/>
      </c>
      <c r="B4" s="159">
        <f>'1.CÁL'!O5</f>
        <v>0</v>
      </c>
      <c r="C4" s="160" t="str">
        <f t="shared" si="1"/>
        <v>#DIV/0!</v>
      </c>
      <c r="D4" s="160" t="str">
        <f t="shared" si="2"/>
        <v>#DIV/0!</v>
      </c>
      <c r="E4" s="160" t="str">
        <f t="shared" si="3"/>
        <v>#DIV/0!</v>
      </c>
      <c r="F4" s="159" t="str">
        <f t="shared" si="4"/>
        <v>#DIV/0!</v>
      </c>
      <c r="G4" s="159" t="str">
        <f t="shared" si="5"/>
        <v>#DIV/0!</v>
      </c>
      <c r="H4" s="161" t="str">
        <f t="shared" si="6"/>
        <v>#DIV/0!</v>
      </c>
      <c r="I4" s="162" t="str">
        <f t="shared" si="7"/>
        <v>#DIV/0!</v>
      </c>
      <c r="J4" s="163" t="str">
        <f>(B4+C4+E4+D4)*'1.CÁL'!W5</f>
        <v>#DIV/0!</v>
      </c>
      <c r="K4" s="163" t="str">
        <f t="shared" si="8"/>
        <v>#DIV/0!</v>
      </c>
      <c r="L4" s="164" t="str">
        <f>(B4+C4+D4+E4+J4+K4)*(100%+'1.CÁL'!Z5)*'1.CÁL'!AA5</f>
        <v>#DIV/0!</v>
      </c>
      <c r="M4" s="165">
        <f>'1.CÁL'!O13</f>
        <v>0</v>
      </c>
      <c r="N4" s="165" t="str">
        <f t="shared" si="9"/>
        <v>#DIV/0!</v>
      </c>
      <c r="O4" s="88" t="str">
        <f t="shared" si="10"/>
        <v>#DIV/0!</v>
      </c>
      <c r="P4" s="166" t="str">
        <f t="shared" si="11"/>
        <v>#DIV/0!</v>
      </c>
      <c r="Q4" s="166" t="str">
        <f t="shared" si="12"/>
        <v>#DIV/0!</v>
      </c>
      <c r="R4" s="167" t="str">
        <f t="shared" si="13"/>
        <v>#DIV/0!</v>
      </c>
      <c r="S4" s="163" t="str">
        <f t="shared" si="14"/>
        <v>#DIV/0!</v>
      </c>
      <c r="T4" s="167" t="str">
        <f t="shared" si="15"/>
        <v>#DIV/0!</v>
      </c>
      <c r="U4" s="159" t="str">
        <f t="shared" si="16"/>
        <v>#DIV/0!</v>
      </c>
      <c r="V4" s="168" t="str">
        <f>U4/'1.CÁL'!L5</f>
        <v>#DIV/0!</v>
      </c>
    </row>
    <row r="5">
      <c r="A5" s="169" t="s">
        <v>117</v>
      </c>
      <c r="B5" s="170">
        <f>SUM(B2:B4)</f>
        <v>0</v>
      </c>
      <c r="C5" s="170">
        <f>'1.CÁL'!D21</f>
        <v>0</v>
      </c>
      <c r="D5" s="170">
        <f>IF('1.CÁL'!S6 &lt;1, C12, C12*'1.CÁL'!S6)</f>
        <v>41</v>
      </c>
      <c r="E5" s="170">
        <f>IF((B5+C5+D5)*C20&gt;E20,(B5+C5+D5)*C20,E20)</f>
        <v>30</v>
      </c>
      <c r="F5" s="170">
        <f>(B5+C5+D5)*5%</f>
        <v>2.05</v>
      </c>
      <c r="G5" s="171">
        <f>B22*'1.CÁL'!D17</f>
        <v>140</v>
      </c>
      <c r="H5" s="171">
        <f>IF('1.CÁL'!D23="FISICA",450,IF('1.CÁL'!D23="DOCUMENTAL",50,0))</f>
        <v>0</v>
      </c>
      <c r="I5" s="171">
        <f>IF('1.CÁL'!D19=TRUE,C23,0)</f>
        <v>0</v>
      </c>
      <c r="J5" s="170" t="str">
        <f t="shared" ref="J5:K5" si="17">SUM(J2:J4)</f>
        <v>#DIV/0!</v>
      </c>
      <c r="K5" s="170" t="str">
        <f t="shared" si="17"/>
        <v>#DIV/0!</v>
      </c>
      <c r="L5" s="170" t="str">
        <f>SUM(ICE)</f>
        <v>#DIV/0!</v>
      </c>
      <c r="M5" s="170">
        <f t="shared" ref="M5:N5" si="18">SUM(M2:M4)</f>
        <v>0</v>
      </c>
      <c r="N5" s="170" t="str">
        <f t="shared" si="18"/>
        <v>#DIV/0!</v>
      </c>
      <c r="O5" s="171">
        <f>IF(B5&gt;3000,(B5+C5+D5+E5)*IF(B5&lt;'1.CÁL'!I38,'1.CÁL'!J37,IF(B5&lt;'1.CÁL'!I39,'1.CÁL'!J38,IF(B5&lt;'1.CÁL'!I40,'1.CÁL'!J39,IF(B5&lt;'1.CÁL'!I41,'1.CÁL'!J40,IF(B5&lt;'1.CÁL'!I42,'1.CÁL'!J41,IF(B5&gt;='1.CÁL'!I42,IF(ISNUMBER('1.CÁL'!J42),'1.CÁL'!J42,'1.CÁL'!J41))))))),180)</f>
        <v>180</v>
      </c>
      <c r="P5" s="171">
        <f>B32</f>
        <v>380</v>
      </c>
      <c r="Q5" s="170">
        <f>C24*'1.CÁL'!D17</f>
        <v>280</v>
      </c>
      <c r="R5" s="170">
        <f>F41</f>
        <v>43.57</v>
      </c>
      <c r="S5" s="170">
        <f>IF(((70*'1.CÁL'!S6)+'1.CÁL'!K18)&lt;10,10,(70*'1.CÁL'!S6)+'1.CÁL'!K18)</f>
        <v>10</v>
      </c>
      <c r="T5" s="170">
        <f>IF('1.CÁL'!D24="SI",150/1.15,0)</f>
        <v>0</v>
      </c>
      <c r="U5" s="172" t="str">
        <f t="shared" si="16"/>
        <v>#DIV/0!</v>
      </c>
      <c r="V5" s="173"/>
    </row>
    <row r="6">
      <c r="A6" s="169" t="s">
        <v>49</v>
      </c>
      <c r="B6" s="174">
        <f t="shared" ref="B6:D6" si="19">B5*0%</f>
        <v>0</v>
      </c>
      <c r="C6" s="174">
        <f t="shared" si="19"/>
        <v>0</v>
      </c>
      <c r="D6" s="174">
        <f t="shared" si="19"/>
        <v>0</v>
      </c>
      <c r="E6" s="174">
        <f>E5*15%</f>
        <v>4.5</v>
      </c>
      <c r="F6" s="174">
        <f>F5*0%</f>
        <v>0</v>
      </c>
      <c r="G6" s="174">
        <f t="shared" ref="G6:I6" si="20">G5*15%</f>
        <v>21</v>
      </c>
      <c r="H6" s="174">
        <f t="shared" si="20"/>
        <v>0</v>
      </c>
      <c r="I6" s="174">
        <f t="shared" si="20"/>
        <v>0</v>
      </c>
      <c r="J6" s="174" t="str">
        <f t="shared" ref="J6:N6" si="21">J5*0%</f>
        <v>#DIV/0!</v>
      </c>
      <c r="K6" s="174" t="str">
        <f t="shared" si="21"/>
        <v>#DIV/0!</v>
      </c>
      <c r="L6" s="174" t="str">
        <f t="shared" si="21"/>
        <v>#DIV/0!</v>
      </c>
      <c r="M6" s="174">
        <f t="shared" si="21"/>
        <v>0</v>
      </c>
      <c r="N6" s="174" t="str">
        <f t="shared" si="21"/>
        <v>#DIV/0!</v>
      </c>
      <c r="O6" s="174">
        <f t="shared" ref="O6:R6" si="22">O5*15%</f>
        <v>27</v>
      </c>
      <c r="P6" s="174">
        <f t="shared" si="22"/>
        <v>57</v>
      </c>
      <c r="Q6" s="174">
        <f t="shared" si="22"/>
        <v>42</v>
      </c>
      <c r="R6" s="174">
        <f t="shared" si="22"/>
        <v>6.5355</v>
      </c>
      <c r="S6" s="174">
        <f>S5*0%</f>
        <v>0</v>
      </c>
      <c r="T6" s="174">
        <f>T5*15%</f>
        <v>0</v>
      </c>
      <c r="U6" s="175" t="str">
        <f t="shared" si="16"/>
        <v>#DIV/0!</v>
      </c>
    </row>
    <row r="7">
      <c r="A7" s="169" t="s">
        <v>118</v>
      </c>
      <c r="B7" s="176">
        <f t="shared" ref="B7:U7" si="23">SUM(B5:B6)</f>
        <v>0</v>
      </c>
      <c r="C7" s="176">
        <f t="shared" si="23"/>
        <v>0</v>
      </c>
      <c r="D7" s="176">
        <f t="shared" si="23"/>
        <v>41</v>
      </c>
      <c r="E7" s="176">
        <f t="shared" si="23"/>
        <v>34.5</v>
      </c>
      <c r="F7" s="176">
        <f t="shared" si="23"/>
        <v>2.05</v>
      </c>
      <c r="G7" s="176">
        <f t="shared" si="23"/>
        <v>161</v>
      </c>
      <c r="H7" s="176">
        <f t="shared" si="23"/>
        <v>0</v>
      </c>
      <c r="I7" s="176">
        <f t="shared" si="23"/>
        <v>0</v>
      </c>
      <c r="J7" s="177" t="str">
        <f t="shared" si="23"/>
        <v>#DIV/0!</v>
      </c>
      <c r="K7" s="177" t="str">
        <f t="shared" si="23"/>
        <v>#DIV/0!</v>
      </c>
      <c r="L7" s="177" t="str">
        <f t="shared" si="23"/>
        <v>#DIV/0!</v>
      </c>
      <c r="M7" s="176">
        <f t="shared" si="23"/>
        <v>0</v>
      </c>
      <c r="N7" s="177" t="str">
        <f t="shared" si="23"/>
        <v>#DIV/0!</v>
      </c>
      <c r="O7" s="176">
        <f t="shared" si="23"/>
        <v>207</v>
      </c>
      <c r="P7" s="176">
        <f t="shared" si="23"/>
        <v>437</v>
      </c>
      <c r="Q7" s="176">
        <f t="shared" si="23"/>
        <v>322</v>
      </c>
      <c r="R7" s="176">
        <f t="shared" si="23"/>
        <v>50.1055</v>
      </c>
      <c r="S7" s="176">
        <f t="shared" si="23"/>
        <v>10</v>
      </c>
      <c r="T7" s="176">
        <f t="shared" si="23"/>
        <v>0</v>
      </c>
      <c r="U7" s="177" t="str">
        <f t="shared" si="23"/>
        <v>#DIV/0!</v>
      </c>
    </row>
    <row r="8">
      <c r="A8" s="125"/>
      <c r="B8" s="130"/>
      <c r="C8" s="130"/>
      <c r="D8" s="125"/>
      <c r="E8" s="125"/>
      <c r="F8" s="125"/>
    </row>
    <row r="9">
      <c r="A9" s="125"/>
      <c r="B9" s="130"/>
      <c r="C9" s="130"/>
      <c r="D9" s="125"/>
      <c r="E9" s="125"/>
      <c r="F9" s="125"/>
    </row>
    <row r="10">
      <c r="A10" s="125" t="s">
        <v>119</v>
      </c>
      <c r="B10" s="130"/>
      <c r="C10" s="130"/>
      <c r="D10" s="125"/>
      <c r="E10" s="125"/>
      <c r="F10" s="125"/>
    </row>
    <row r="11">
      <c r="A11" s="131" t="s">
        <v>120</v>
      </c>
      <c r="B11" s="145" t="s">
        <v>121</v>
      </c>
      <c r="C11" s="145" t="s">
        <v>122</v>
      </c>
      <c r="D11" s="145" t="s">
        <v>123</v>
      </c>
      <c r="E11" s="131" t="s">
        <v>124</v>
      </c>
      <c r="F11" s="131" t="s">
        <v>125</v>
      </c>
      <c r="G11" s="131" t="s">
        <v>49</v>
      </c>
    </row>
    <row r="12">
      <c r="A12" s="178" t="s">
        <v>126</v>
      </c>
      <c r="B12" s="179">
        <f>'1.CÁL'!D20</f>
        <v>38</v>
      </c>
      <c r="C12" s="179">
        <f>B12+3</f>
        <v>41</v>
      </c>
      <c r="D12" s="179">
        <v>0.0</v>
      </c>
      <c r="E12" s="179">
        <v>0.0</v>
      </c>
      <c r="F12" s="180" t="s">
        <v>18</v>
      </c>
      <c r="G12" s="181">
        <v>0.0</v>
      </c>
    </row>
    <row r="13">
      <c r="A13" s="182" t="s">
        <v>127</v>
      </c>
      <c r="B13" s="183">
        <v>28.0</v>
      </c>
      <c r="C13" s="183">
        <f>B13+5</f>
        <v>33</v>
      </c>
      <c r="D13" s="183">
        <v>150.0</v>
      </c>
      <c r="E13" s="183">
        <v>150.0</v>
      </c>
      <c r="F13" s="184" t="s">
        <v>18</v>
      </c>
      <c r="G13" s="185">
        <v>0.15</v>
      </c>
    </row>
    <row r="14">
      <c r="A14" s="182" t="s">
        <v>128</v>
      </c>
      <c r="B14" s="183">
        <v>10.0</v>
      </c>
      <c r="C14" s="183">
        <v>13.0</v>
      </c>
      <c r="D14" s="183">
        <v>50.0</v>
      </c>
      <c r="E14" s="183">
        <v>55.0</v>
      </c>
      <c r="F14" s="184" t="s">
        <v>18</v>
      </c>
      <c r="G14" s="185">
        <v>0.15</v>
      </c>
    </row>
    <row r="15">
      <c r="A15" s="186" t="s">
        <v>129</v>
      </c>
      <c r="B15" s="187">
        <v>100.0</v>
      </c>
      <c r="C15" s="187">
        <v>105.0</v>
      </c>
      <c r="D15" s="187">
        <v>0.0</v>
      </c>
      <c r="E15" s="187">
        <v>0.0</v>
      </c>
      <c r="F15" s="188" t="s">
        <v>130</v>
      </c>
      <c r="G15" s="189">
        <v>0.15</v>
      </c>
    </row>
    <row r="16">
      <c r="A16" s="186" t="s">
        <v>131</v>
      </c>
      <c r="B16" s="187">
        <v>20.0</v>
      </c>
      <c r="C16" s="187">
        <v>25.0</v>
      </c>
      <c r="D16" s="187">
        <v>0.0</v>
      </c>
      <c r="E16" s="187">
        <v>0.0</v>
      </c>
      <c r="F16" s="188" t="s">
        <v>130</v>
      </c>
      <c r="G16" s="189">
        <v>0.15</v>
      </c>
    </row>
    <row r="17">
      <c r="A17" s="186" t="s">
        <v>132</v>
      </c>
      <c r="B17" s="187">
        <v>20.0</v>
      </c>
      <c r="C17" s="187">
        <v>25.0</v>
      </c>
      <c r="D17" s="187">
        <v>0.0</v>
      </c>
      <c r="E17" s="187">
        <v>0.0</v>
      </c>
      <c r="F17" s="188" t="s">
        <v>130</v>
      </c>
      <c r="G17" s="189">
        <v>0.15</v>
      </c>
    </row>
    <row r="18">
      <c r="A18" s="190" t="s">
        <v>133</v>
      </c>
      <c r="B18" s="191">
        <v>0.0</v>
      </c>
      <c r="C18" s="191">
        <f>B18*1.1</f>
        <v>0</v>
      </c>
      <c r="D18" s="191">
        <v>0.0</v>
      </c>
      <c r="E18" s="191">
        <v>0.0</v>
      </c>
      <c r="F18" s="192" t="s">
        <v>130</v>
      </c>
      <c r="G18" s="193">
        <v>0.15</v>
      </c>
    </row>
    <row r="19">
      <c r="A19" s="194" t="s">
        <v>71</v>
      </c>
      <c r="B19" s="195">
        <v>60.0</v>
      </c>
      <c r="C19" s="195">
        <v>70.0</v>
      </c>
      <c r="D19" s="195">
        <v>0.0</v>
      </c>
      <c r="E19" s="195">
        <v>0.0</v>
      </c>
      <c r="F19" s="196" t="s">
        <v>130</v>
      </c>
      <c r="G19" s="197">
        <v>0.15</v>
      </c>
    </row>
    <row r="20">
      <c r="A20" s="178" t="s">
        <v>134</v>
      </c>
      <c r="B20" s="181">
        <v>0.0015</v>
      </c>
      <c r="C20" s="181">
        <v>0.005</v>
      </c>
      <c r="D20" s="179">
        <v>25.0</v>
      </c>
      <c r="E20" s="179">
        <v>30.0</v>
      </c>
      <c r="F20" s="180" t="s">
        <v>130</v>
      </c>
      <c r="G20" s="181">
        <v>0.15</v>
      </c>
    </row>
    <row r="21">
      <c r="A21" s="198" t="s">
        <v>135</v>
      </c>
      <c r="B21" s="199">
        <v>0.06</v>
      </c>
      <c r="C21" s="199">
        <v>0.06</v>
      </c>
      <c r="D21" s="200">
        <v>15.0</v>
      </c>
      <c r="E21" s="200">
        <v>20.0</v>
      </c>
      <c r="F21" s="201" t="s">
        <v>130</v>
      </c>
      <c r="G21" s="199">
        <v>0.15</v>
      </c>
    </row>
    <row r="22">
      <c r="A22" s="190" t="s">
        <v>136</v>
      </c>
      <c r="B22" s="202">
        <v>140.0</v>
      </c>
      <c r="C22" s="203">
        <f t="shared" ref="C22:C24" si="24">B22</f>
        <v>140</v>
      </c>
      <c r="D22" s="202">
        <v>0.0</v>
      </c>
      <c r="E22" s="202">
        <v>0.0</v>
      </c>
      <c r="F22" s="192" t="s">
        <v>130</v>
      </c>
      <c r="G22" s="193">
        <v>0.15</v>
      </c>
    </row>
    <row r="23">
      <c r="A23" s="125" t="s">
        <v>54</v>
      </c>
      <c r="B23" s="202">
        <v>0.0</v>
      </c>
      <c r="C23" s="203">
        <f t="shared" si="24"/>
        <v>0</v>
      </c>
      <c r="D23" s="202">
        <v>0.0</v>
      </c>
      <c r="E23" s="202">
        <v>0.0</v>
      </c>
      <c r="F23" s="192" t="s">
        <v>130</v>
      </c>
      <c r="G23" s="193">
        <v>0.15</v>
      </c>
    </row>
    <row r="24">
      <c r="A24" s="186" t="s">
        <v>137</v>
      </c>
      <c r="B24" s="204">
        <v>280.0</v>
      </c>
      <c r="C24" s="205">
        <f t="shared" si="24"/>
        <v>280</v>
      </c>
      <c r="D24" s="204">
        <v>0.0</v>
      </c>
      <c r="E24" s="204">
        <v>0.0</v>
      </c>
      <c r="F24" s="188" t="s">
        <v>130</v>
      </c>
      <c r="G24" s="189">
        <v>0.15</v>
      </c>
    </row>
    <row r="25">
      <c r="B25" s="206"/>
    </row>
    <row r="26">
      <c r="B26" s="206"/>
    </row>
    <row r="27">
      <c r="A27" s="207"/>
      <c r="B27" s="208"/>
      <c r="C27" s="207" t="s">
        <v>49</v>
      </c>
      <c r="D27" s="207" t="s">
        <v>118</v>
      </c>
    </row>
    <row r="28">
      <c r="A28" s="209" t="s">
        <v>18</v>
      </c>
      <c r="B28" s="210">
        <f>IF('1.CÁL'!Q6*C13&gt;E13,'1.CÁL'!Q6*C13,E13)+IF('1.CÁL'!Q6*C14&gt;E14,'1.CÁL'!Q6*C14,E14)</f>
        <v>205</v>
      </c>
      <c r="C28" s="210">
        <f t="shared" ref="C28:C31" si="25">B28*15%</f>
        <v>30.75</v>
      </c>
      <c r="D28" s="211">
        <f t="shared" ref="D28:D31" si="26">SUM(B28:C28)</f>
        <v>235.75</v>
      </c>
    </row>
    <row r="29">
      <c r="A29" s="212" t="s">
        <v>130</v>
      </c>
      <c r="B29" s="213">
        <f>C15+C16+C17</f>
        <v>155</v>
      </c>
      <c r="C29" s="213">
        <f t="shared" si="25"/>
        <v>23.25</v>
      </c>
      <c r="D29" s="211">
        <f t="shared" si="26"/>
        <v>178.25</v>
      </c>
    </row>
    <row r="30">
      <c r="A30" s="214" t="s">
        <v>71</v>
      </c>
      <c r="B30" s="215">
        <f>IF('1.CÁL'!D22=TRUE,C19,0)</f>
        <v>0</v>
      </c>
      <c r="C30" s="215">
        <f t="shared" si="25"/>
        <v>0</v>
      </c>
      <c r="D30" s="211">
        <f t="shared" si="26"/>
        <v>0</v>
      </c>
    </row>
    <row r="31">
      <c r="A31" s="216" t="s">
        <v>135</v>
      </c>
      <c r="B31" s="217">
        <f>IF(SUM(C5:D5)*6%&gt;E21,SUM(C5:D5)*6%,E21)</f>
        <v>20</v>
      </c>
      <c r="C31" s="217">
        <f t="shared" si="25"/>
        <v>3</v>
      </c>
      <c r="D31" s="211">
        <f t="shared" si="26"/>
        <v>23</v>
      </c>
    </row>
    <row r="32">
      <c r="A32" s="218" t="s">
        <v>117</v>
      </c>
      <c r="B32" s="219">
        <f t="shared" ref="B32:D32" si="27">SUM(B28:B31)</f>
        <v>380</v>
      </c>
      <c r="C32" s="219">
        <f t="shared" si="27"/>
        <v>57</v>
      </c>
      <c r="D32" s="219">
        <f t="shared" si="27"/>
        <v>437</v>
      </c>
    </row>
    <row r="33">
      <c r="B33" s="206"/>
    </row>
    <row r="34">
      <c r="B34" s="206"/>
    </row>
    <row r="35">
      <c r="A35" s="220" t="s">
        <v>138</v>
      </c>
      <c r="B35" s="221" t="s">
        <v>121</v>
      </c>
      <c r="C35" s="220" t="s">
        <v>123</v>
      </c>
      <c r="D35" s="222" t="s">
        <v>125</v>
      </c>
      <c r="E35" s="220" t="s">
        <v>49</v>
      </c>
      <c r="F35" s="220" t="s">
        <v>117</v>
      </c>
    </row>
    <row r="36">
      <c r="A36" s="223" t="s">
        <v>139</v>
      </c>
      <c r="B36" s="224">
        <v>2.2</v>
      </c>
      <c r="C36" s="224">
        <v>22.11</v>
      </c>
      <c r="D36" s="223" t="s">
        <v>18</v>
      </c>
      <c r="E36" s="225">
        <v>0.15</v>
      </c>
      <c r="F36" s="224">
        <f>IF(B36*'1.CÁL'!S6*7&gt;C36,B36*'1.CÁL'!S6*7,C36)</f>
        <v>22.11</v>
      </c>
    </row>
    <row r="37">
      <c r="A37" s="223" t="s">
        <v>140</v>
      </c>
      <c r="B37" s="224">
        <v>2.08</v>
      </c>
      <c r="C37" s="223"/>
      <c r="D37" s="223" t="s">
        <v>18</v>
      </c>
      <c r="E37" s="225">
        <v>0.15</v>
      </c>
      <c r="F37" s="224">
        <f>B37*'1.CÁL'!S6</f>
        <v>0</v>
      </c>
    </row>
    <row r="38">
      <c r="A38" s="223" t="s">
        <v>141</v>
      </c>
      <c r="B38" s="224">
        <v>21.46</v>
      </c>
      <c r="C38" s="223"/>
      <c r="D38" s="223" t="s">
        <v>130</v>
      </c>
      <c r="E38" s="225">
        <v>0.15</v>
      </c>
      <c r="F38" s="224">
        <f>B38</f>
        <v>21.46</v>
      </c>
    </row>
    <row r="39">
      <c r="A39" s="223" t="s">
        <v>142</v>
      </c>
      <c r="B39" s="224">
        <v>4.32</v>
      </c>
      <c r="C39" s="223"/>
      <c r="D39" s="223" t="s">
        <v>18</v>
      </c>
      <c r="E39" s="225">
        <v>0.15</v>
      </c>
      <c r="F39" s="224">
        <f>B39*'1.CÁL'!S6</f>
        <v>0</v>
      </c>
    </row>
    <row r="40">
      <c r="A40" s="223" t="s">
        <v>143</v>
      </c>
      <c r="B40" s="224">
        <v>16.59</v>
      </c>
      <c r="C40" s="223"/>
      <c r="D40" s="223" t="s">
        <v>18</v>
      </c>
      <c r="E40" s="225">
        <v>0.15</v>
      </c>
      <c r="F40" s="224">
        <f>B40*'1.CÁL'!S6</f>
        <v>0</v>
      </c>
    </row>
    <row r="41">
      <c r="A41" s="226"/>
      <c r="B41" s="227"/>
      <c r="C41" s="226"/>
      <c r="D41" s="226"/>
      <c r="E41" s="226"/>
      <c r="F41" s="228">
        <f>SUM(F36:F40)</f>
        <v>43.57</v>
      </c>
    </row>
    <row r="42">
      <c r="B42" s="206"/>
    </row>
    <row r="43">
      <c r="B43" s="206"/>
    </row>
    <row r="44">
      <c r="B44" s="206"/>
    </row>
    <row r="45">
      <c r="B45" s="206"/>
    </row>
    <row r="46">
      <c r="B46" s="206"/>
    </row>
    <row r="47">
      <c r="B47" s="206"/>
    </row>
    <row r="48">
      <c r="B48" s="206"/>
    </row>
    <row r="49">
      <c r="B49" s="206"/>
    </row>
    <row r="50">
      <c r="B50" s="206"/>
    </row>
    <row r="51">
      <c r="B51" s="206"/>
    </row>
    <row r="52">
      <c r="B52" s="206"/>
    </row>
    <row r="53">
      <c r="B53" s="206"/>
    </row>
    <row r="54">
      <c r="B54" s="206"/>
    </row>
    <row r="55">
      <c r="B55" s="206"/>
    </row>
    <row r="56">
      <c r="B56" s="206"/>
    </row>
    <row r="57">
      <c r="B57" s="206"/>
    </row>
    <row r="58">
      <c r="B58" s="206"/>
    </row>
    <row r="59">
      <c r="B59" s="206"/>
    </row>
    <row r="60">
      <c r="B60" s="206"/>
    </row>
    <row r="61">
      <c r="B61" s="206"/>
    </row>
    <row r="62">
      <c r="B62" s="206"/>
    </row>
    <row r="63">
      <c r="B63" s="206"/>
    </row>
    <row r="64">
      <c r="B64" s="206"/>
    </row>
    <row r="65">
      <c r="B65" s="206"/>
    </row>
    <row r="66">
      <c r="B66" s="206"/>
    </row>
    <row r="67">
      <c r="B67" s="206"/>
    </row>
    <row r="68">
      <c r="B68" s="206"/>
    </row>
    <row r="69">
      <c r="B69" s="206"/>
    </row>
    <row r="70">
      <c r="B70" s="206"/>
    </row>
    <row r="71">
      <c r="B71" s="206"/>
    </row>
    <row r="72">
      <c r="B72" s="206"/>
    </row>
    <row r="73">
      <c r="B73" s="206"/>
    </row>
    <row r="74">
      <c r="B74" s="206"/>
    </row>
    <row r="75">
      <c r="B75" s="206"/>
    </row>
    <row r="76">
      <c r="B76" s="206"/>
    </row>
    <row r="77">
      <c r="B77" s="206"/>
    </row>
    <row r="78">
      <c r="B78" s="206"/>
    </row>
    <row r="79">
      <c r="B79" s="206"/>
    </row>
    <row r="80">
      <c r="B80" s="206"/>
    </row>
    <row r="81">
      <c r="B81" s="206"/>
    </row>
    <row r="82">
      <c r="B82" s="206"/>
    </row>
    <row r="83">
      <c r="B83" s="206"/>
    </row>
    <row r="84">
      <c r="B84" s="206"/>
    </row>
    <row r="85">
      <c r="B85" s="206"/>
    </row>
    <row r="86">
      <c r="B86" s="206"/>
    </row>
    <row r="87">
      <c r="B87" s="206"/>
    </row>
    <row r="88">
      <c r="B88" s="206"/>
    </row>
    <row r="89">
      <c r="B89" s="206"/>
    </row>
    <row r="90">
      <c r="B90" s="206"/>
    </row>
    <row r="91">
      <c r="B91" s="206"/>
    </row>
    <row r="92">
      <c r="B92" s="206"/>
    </row>
    <row r="93">
      <c r="B93" s="206"/>
    </row>
    <row r="94">
      <c r="B94" s="206"/>
    </row>
    <row r="95">
      <c r="B95" s="206"/>
    </row>
    <row r="96">
      <c r="B96" s="206"/>
    </row>
    <row r="97">
      <c r="B97" s="206"/>
    </row>
    <row r="98">
      <c r="B98" s="206"/>
    </row>
    <row r="99">
      <c r="B99" s="206"/>
    </row>
    <row r="100">
      <c r="B100" s="206"/>
    </row>
    <row r="101">
      <c r="B101" s="206"/>
    </row>
    <row r="102">
      <c r="B102" s="206"/>
    </row>
    <row r="103">
      <c r="B103" s="206"/>
    </row>
    <row r="104">
      <c r="B104" s="206"/>
    </row>
    <row r="105">
      <c r="B105" s="206"/>
    </row>
    <row r="106">
      <c r="B106" s="206"/>
    </row>
    <row r="107">
      <c r="B107" s="206"/>
    </row>
    <row r="108">
      <c r="B108" s="206"/>
    </row>
    <row r="109">
      <c r="B109" s="206"/>
    </row>
    <row r="110">
      <c r="B110" s="206"/>
    </row>
    <row r="111">
      <c r="B111" s="206"/>
    </row>
    <row r="112">
      <c r="B112" s="206"/>
    </row>
    <row r="113">
      <c r="B113" s="206"/>
    </row>
    <row r="114">
      <c r="B114" s="206"/>
    </row>
    <row r="115">
      <c r="B115" s="206"/>
    </row>
    <row r="116">
      <c r="B116" s="206"/>
    </row>
    <row r="117">
      <c r="B117" s="206"/>
    </row>
    <row r="118">
      <c r="B118" s="206"/>
    </row>
    <row r="119">
      <c r="B119" s="206"/>
    </row>
    <row r="120">
      <c r="B120" s="206"/>
    </row>
    <row r="121">
      <c r="B121" s="206"/>
    </row>
    <row r="122">
      <c r="B122" s="206"/>
    </row>
    <row r="123">
      <c r="B123" s="206"/>
    </row>
    <row r="124">
      <c r="B124" s="206"/>
    </row>
    <row r="125">
      <c r="B125" s="206"/>
    </row>
    <row r="126">
      <c r="B126" s="206"/>
    </row>
    <row r="127">
      <c r="B127" s="206"/>
    </row>
    <row r="128">
      <c r="B128" s="206"/>
    </row>
    <row r="129">
      <c r="B129" s="206"/>
    </row>
    <row r="130">
      <c r="B130" s="206"/>
    </row>
    <row r="131">
      <c r="B131" s="206"/>
    </row>
    <row r="132">
      <c r="B132" s="206"/>
    </row>
    <row r="133">
      <c r="B133" s="206"/>
    </row>
    <row r="134">
      <c r="B134" s="206"/>
    </row>
    <row r="135">
      <c r="B135" s="206"/>
    </row>
    <row r="136">
      <c r="B136" s="206"/>
    </row>
    <row r="137">
      <c r="B137" s="206"/>
    </row>
    <row r="138">
      <c r="B138" s="206"/>
    </row>
    <row r="139">
      <c r="B139" s="206"/>
    </row>
    <row r="140">
      <c r="B140" s="206"/>
    </row>
    <row r="141">
      <c r="B141" s="206"/>
    </row>
    <row r="142">
      <c r="B142" s="206"/>
    </row>
    <row r="143">
      <c r="B143" s="206"/>
    </row>
    <row r="144">
      <c r="B144" s="206"/>
    </row>
    <row r="145">
      <c r="B145" s="206"/>
    </row>
    <row r="146">
      <c r="B146" s="206"/>
    </row>
    <row r="147">
      <c r="B147" s="206"/>
    </row>
    <row r="148">
      <c r="B148" s="206"/>
    </row>
    <row r="149">
      <c r="B149" s="206"/>
    </row>
    <row r="150">
      <c r="B150" s="206"/>
    </row>
    <row r="151">
      <c r="B151" s="206"/>
    </row>
    <row r="152">
      <c r="B152" s="206"/>
    </row>
    <row r="153">
      <c r="B153" s="206"/>
    </row>
    <row r="154">
      <c r="B154" s="206"/>
    </row>
    <row r="155">
      <c r="B155" s="206"/>
    </row>
    <row r="156">
      <c r="B156" s="206"/>
    </row>
    <row r="157">
      <c r="B157" s="206"/>
    </row>
    <row r="158">
      <c r="B158" s="206"/>
    </row>
    <row r="159">
      <c r="B159" s="206"/>
    </row>
    <row r="160">
      <c r="B160" s="206"/>
    </row>
    <row r="161">
      <c r="B161" s="206"/>
    </row>
    <row r="162">
      <c r="B162" s="206"/>
    </row>
    <row r="163">
      <c r="B163" s="206"/>
    </row>
    <row r="164">
      <c r="B164" s="206"/>
    </row>
    <row r="165">
      <c r="B165" s="206"/>
    </row>
    <row r="166">
      <c r="B166" s="206"/>
    </row>
    <row r="167">
      <c r="B167" s="206"/>
    </row>
    <row r="168">
      <c r="B168" s="206"/>
    </row>
    <row r="169">
      <c r="B169" s="206"/>
    </row>
    <row r="170">
      <c r="B170" s="206"/>
    </row>
    <row r="171">
      <c r="B171" s="206"/>
    </row>
    <row r="172">
      <c r="B172" s="206"/>
    </row>
    <row r="173">
      <c r="B173" s="206"/>
    </row>
    <row r="174">
      <c r="B174" s="206"/>
    </row>
    <row r="175">
      <c r="B175" s="206"/>
    </row>
    <row r="176">
      <c r="B176" s="206"/>
    </row>
    <row r="177">
      <c r="B177" s="206"/>
    </row>
    <row r="178">
      <c r="B178" s="206"/>
    </row>
    <row r="179">
      <c r="B179" s="206"/>
    </row>
    <row r="180">
      <c r="B180" s="206"/>
    </row>
    <row r="181">
      <c r="B181" s="206"/>
    </row>
    <row r="182">
      <c r="B182" s="206"/>
    </row>
    <row r="183">
      <c r="B183" s="206"/>
    </row>
    <row r="184">
      <c r="B184" s="206"/>
    </row>
    <row r="185">
      <c r="B185" s="206"/>
    </row>
    <row r="186">
      <c r="B186" s="206"/>
    </row>
    <row r="187">
      <c r="B187" s="206"/>
    </row>
    <row r="188">
      <c r="B188" s="206"/>
    </row>
    <row r="189">
      <c r="B189" s="206"/>
    </row>
    <row r="190">
      <c r="B190" s="206"/>
    </row>
    <row r="191">
      <c r="B191" s="206"/>
    </row>
    <row r="192">
      <c r="B192" s="206"/>
    </row>
    <row r="193">
      <c r="B193" s="206"/>
    </row>
    <row r="194">
      <c r="B194" s="206"/>
    </row>
    <row r="195">
      <c r="B195" s="206"/>
    </row>
    <row r="196">
      <c r="B196" s="206"/>
    </row>
    <row r="197">
      <c r="B197" s="206"/>
    </row>
    <row r="198">
      <c r="B198" s="206"/>
    </row>
    <row r="199">
      <c r="B199" s="206"/>
    </row>
    <row r="200">
      <c r="B200" s="206"/>
    </row>
    <row r="201">
      <c r="B201" s="206"/>
    </row>
    <row r="202">
      <c r="B202" s="206"/>
    </row>
    <row r="203">
      <c r="B203" s="206"/>
    </row>
    <row r="204">
      <c r="B204" s="206"/>
    </row>
    <row r="205">
      <c r="B205" s="206"/>
    </row>
    <row r="206">
      <c r="B206" s="206"/>
    </row>
    <row r="207">
      <c r="B207" s="206"/>
    </row>
    <row r="208">
      <c r="B208" s="206"/>
    </row>
    <row r="209">
      <c r="B209" s="206"/>
    </row>
    <row r="210">
      <c r="B210" s="206"/>
    </row>
    <row r="211">
      <c r="B211" s="206"/>
    </row>
    <row r="212">
      <c r="B212" s="206"/>
    </row>
    <row r="213">
      <c r="B213" s="206"/>
    </row>
    <row r="214">
      <c r="B214" s="206"/>
    </row>
    <row r="215">
      <c r="B215" s="206"/>
    </row>
    <row r="216">
      <c r="B216" s="206"/>
    </row>
    <row r="217">
      <c r="B217" s="206"/>
    </row>
    <row r="218">
      <c r="B218" s="206"/>
    </row>
    <row r="219">
      <c r="B219" s="206"/>
    </row>
    <row r="220">
      <c r="B220" s="206"/>
    </row>
    <row r="221">
      <c r="B221" s="206"/>
    </row>
    <row r="222">
      <c r="B222" s="206"/>
    </row>
    <row r="223">
      <c r="B223" s="206"/>
    </row>
    <row r="224">
      <c r="B224" s="206"/>
    </row>
    <row r="225">
      <c r="B225" s="206"/>
    </row>
    <row r="226">
      <c r="B226" s="206"/>
    </row>
    <row r="227">
      <c r="B227" s="206"/>
    </row>
    <row r="228">
      <c r="B228" s="206"/>
    </row>
    <row r="229">
      <c r="B229" s="206"/>
    </row>
    <row r="230">
      <c r="B230" s="206"/>
    </row>
    <row r="231">
      <c r="B231" s="206"/>
    </row>
    <row r="232">
      <c r="B232" s="206"/>
    </row>
    <row r="233">
      <c r="B233" s="206"/>
    </row>
    <row r="234">
      <c r="B234" s="206"/>
    </row>
    <row r="235">
      <c r="B235" s="206"/>
    </row>
    <row r="236">
      <c r="B236" s="206"/>
    </row>
    <row r="237">
      <c r="B237" s="206"/>
    </row>
    <row r="238">
      <c r="B238" s="206"/>
    </row>
    <row r="239">
      <c r="B239" s="206"/>
    </row>
    <row r="240">
      <c r="B240" s="206"/>
    </row>
    <row r="241">
      <c r="B241" s="206"/>
    </row>
    <row r="242">
      <c r="B242" s="206"/>
    </row>
    <row r="243">
      <c r="B243" s="206"/>
    </row>
    <row r="244">
      <c r="B244" s="206"/>
    </row>
    <row r="245">
      <c r="B245" s="206"/>
    </row>
    <row r="246">
      <c r="B246" s="206"/>
    </row>
    <row r="247">
      <c r="B247" s="206"/>
    </row>
    <row r="248">
      <c r="B248" s="206"/>
    </row>
    <row r="249">
      <c r="B249" s="206"/>
    </row>
    <row r="250">
      <c r="B250" s="206"/>
    </row>
    <row r="251">
      <c r="B251" s="206"/>
    </row>
    <row r="252">
      <c r="B252" s="206"/>
    </row>
    <row r="253">
      <c r="B253" s="206"/>
    </row>
    <row r="254">
      <c r="B254" s="206"/>
    </row>
    <row r="255">
      <c r="B255" s="206"/>
    </row>
    <row r="256">
      <c r="B256" s="206"/>
    </row>
    <row r="257">
      <c r="B257" s="206"/>
    </row>
    <row r="258">
      <c r="B258" s="206"/>
    </row>
    <row r="259">
      <c r="B259" s="206"/>
    </row>
    <row r="260">
      <c r="B260" s="206"/>
    </row>
    <row r="261">
      <c r="B261" s="206"/>
    </row>
    <row r="262">
      <c r="B262" s="206"/>
    </row>
    <row r="263">
      <c r="B263" s="206"/>
    </row>
    <row r="264">
      <c r="B264" s="206"/>
    </row>
    <row r="265">
      <c r="B265" s="206"/>
    </row>
    <row r="266">
      <c r="B266" s="206"/>
    </row>
    <row r="267">
      <c r="B267" s="206"/>
    </row>
    <row r="268">
      <c r="B268" s="206"/>
    </row>
    <row r="269">
      <c r="B269" s="206"/>
    </row>
    <row r="270">
      <c r="B270" s="206"/>
    </row>
    <row r="271">
      <c r="B271" s="206"/>
    </row>
    <row r="272">
      <c r="B272" s="206"/>
    </row>
    <row r="273">
      <c r="B273" s="206"/>
    </row>
    <row r="274">
      <c r="B274" s="206"/>
    </row>
    <row r="275">
      <c r="B275" s="206"/>
    </row>
    <row r="276">
      <c r="B276" s="206"/>
    </row>
    <row r="277">
      <c r="B277" s="206"/>
    </row>
    <row r="278">
      <c r="B278" s="206"/>
    </row>
    <row r="279">
      <c r="B279" s="206"/>
    </row>
    <row r="280">
      <c r="B280" s="206"/>
    </row>
    <row r="281">
      <c r="B281" s="206"/>
    </row>
    <row r="282">
      <c r="B282" s="206"/>
    </row>
    <row r="283">
      <c r="B283" s="206"/>
    </row>
    <row r="284">
      <c r="B284" s="206"/>
    </row>
    <row r="285">
      <c r="B285" s="206"/>
    </row>
    <row r="286">
      <c r="B286" s="206"/>
    </row>
    <row r="287">
      <c r="B287" s="206"/>
    </row>
    <row r="288">
      <c r="B288" s="206"/>
    </row>
    <row r="289">
      <c r="B289" s="206"/>
    </row>
    <row r="290">
      <c r="B290" s="206"/>
    </row>
    <row r="291">
      <c r="B291" s="206"/>
    </row>
    <row r="292">
      <c r="B292" s="206"/>
    </row>
    <row r="293">
      <c r="B293" s="206"/>
    </row>
    <row r="294">
      <c r="B294" s="206"/>
    </row>
    <row r="295">
      <c r="B295" s="206"/>
    </row>
    <row r="296">
      <c r="B296" s="206"/>
    </row>
    <row r="297">
      <c r="B297" s="206"/>
    </row>
    <row r="298">
      <c r="B298" s="206"/>
    </row>
    <row r="299">
      <c r="B299" s="206"/>
    </row>
    <row r="300">
      <c r="B300" s="206"/>
    </row>
    <row r="301">
      <c r="B301" s="206"/>
    </row>
    <row r="302">
      <c r="B302" s="206"/>
    </row>
    <row r="303">
      <c r="B303" s="206"/>
    </row>
    <row r="304">
      <c r="B304" s="206"/>
    </row>
    <row r="305">
      <c r="B305" s="206"/>
    </row>
    <row r="306">
      <c r="B306" s="206"/>
    </row>
    <row r="307">
      <c r="B307" s="206"/>
    </row>
    <row r="308">
      <c r="B308" s="206"/>
    </row>
    <row r="309">
      <c r="B309" s="206"/>
    </row>
    <row r="310">
      <c r="B310" s="206"/>
    </row>
    <row r="311">
      <c r="B311" s="206"/>
    </row>
    <row r="312">
      <c r="B312" s="206"/>
    </row>
    <row r="313">
      <c r="B313" s="206"/>
    </row>
    <row r="314">
      <c r="B314" s="206"/>
    </row>
    <row r="315">
      <c r="B315" s="206"/>
    </row>
    <row r="316">
      <c r="B316" s="206"/>
    </row>
    <row r="317">
      <c r="B317" s="206"/>
    </row>
    <row r="318">
      <c r="B318" s="206"/>
    </row>
    <row r="319">
      <c r="B319" s="206"/>
    </row>
    <row r="320">
      <c r="B320" s="206"/>
    </row>
    <row r="321">
      <c r="B321" s="206"/>
    </row>
    <row r="322">
      <c r="B322" s="206"/>
    </row>
    <row r="323">
      <c r="B323" s="206"/>
    </row>
    <row r="324">
      <c r="B324" s="206"/>
    </row>
    <row r="325">
      <c r="B325" s="206"/>
    </row>
    <row r="326">
      <c r="B326" s="206"/>
    </row>
    <row r="327">
      <c r="B327" s="206"/>
    </row>
    <row r="328">
      <c r="B328" s="206"/>
    </row>
    <row r="329">
      <c r="B329" s="206"/>
    </row>
    <row r="330">
      <c r="B330" s="206"/>
    </row>
    <row r="331">
      <c r="B331" s="206"/>
    </row>
    <row r="332">
      <c r="B332" s="206"/>
    </row>
    <row r="333">
      <c r="B333" s="206"/>
    </row>
    <row r="334">
      <c r="B334" s="206"/>
    </row>
    <row r="335">
      <c r="B335" s="206"/>
    </row>
    <row r="336">
      <c r="B336" s="206"/>
    </row>
    <row r="337">
      <c r="B337" s="206"/>
    </row>
    <row r="338">
      <c r="B338" s="206"/>
    </row>
    <row r="339">
      <c r="B339" s="206"/>
    </row>
    <row r="340">
      <c r="B340" s="206"/>
    </row>
    <row r="341">
      <c r="B341" s="206"/>
    </row>
    <row r="342">
      <c r="B342" s="206"/>
    </row>
    <row r="343">
      <c r="B343" s="206"/>
    </row>
    <row r="344">
      <c r="B344" s="206"/>
    </row>
    <row r="345">
      <c r="B345" s="206"/>
    </row>
    <row r="346">
      <c r="B346" s="206"/>
    </row>
    <row r="347">
      <c r="B347" s="206"/>
    </row>
    <row r="348">
      <c r="B348" s="206"/>
    </row>
    <row r="349">
      <c r="B349" s="206"/>
    </row>
    <row r="350">
      <c r="B350" s="206"/>
    </row>
    <row r="351">
      <c r="B351" s="206"/>
    </row>
    <row r="352">
      <c r="B352" s="206"/>
    </row>
    <row r="353">
      <c r="B353" s="206"/>
    </row>
    <row r="354">
      <c r="B354" s="206"/>
    </row>
    <row r="355">
      <c r="B355" s="206"/>
    </row>
    <row r="356">
      <c r="B356" s="206"/>
    </row>
    <row r="357">
      <c r="B357" s="206"/>
    </row>
    <row r="358">
      <c r="B358" s="206"/>
    </row>
    <row r="359">
      <c r="B359" s="206"/>
    </row>
    <row r="360">
      <c r="B360" s="206"/>
    </row>
    <row r="361">
      <c r="B361" s="206"/>
    </row>
    <row r="362">
      <c r="B362" s="206"/>
    </row>
    <row r="363">
      <c r="B363" s="206"/>
    </row>
    <row r="364">
      <c r="B364" s="206"/>
    </row>
    <row r="365">
      <c r="B365" s="206"/>
    </row>
    <row r="366">
      <c r="B366" s="206"/>
    </row>
    <row r="367">
      <c r="B367" s="206"/>
    </row>
    <row r="368">
      <c r="B368" s="206"/>
    </row>
    <row r="369">
      <c r="B369" s="206"/>
    </row>
    <row r="370">
      <c r="B370" s="206"/>
    </row>
    <row r="371">
      <c r="B371" s="206"/>
    </row>
    <row r="372">
      <c r="B372" s="206"/>
    </row>
    <row r="373">
      <c r="B373" s="206"/>
    </row>
    <row r="374">
      <c r="B374" s="206"/>
    </row>
    <row r="375">
      <c r="B375" s="206"/>
    </row>
    <row r="376">
      <c r="B376" s="206"/>
    </row>
    <row r="377">
      <c r="B377" s="206"/>
    </row>
    <row r="378">
      <c r="B378" s="206"/>
    </row>
    <row r="379">
      <c r="B379" s="206"/>
    </row>
    <row r="380">
      <c r="B380" s="206"/>
    </row>
    <row r="381">
      <c r="B381" s="206"/>
    </row>
    <row r="382">
      <c r="B382" s="206"/>
    </row>
    <row r="383">
      <c r="B383" s="206"/>
    </row>
    <row r="384">
      <c r="B384" s="206"/>
    </row>
    <row r="385">
      <c r="B385" s="206"/>
    </row>
    <row r="386">
      <c r="B386" s="206"/>
    </row>
    <row r="387">
      <c r="B387" s="206"/>
    </row>
    <row r="388">
      <c r="B388" s="206"/>
    </row>
    <row r="389">
      <c r="B389" s="206"/>
    </row>
    <row r="390">
      <c r="B390" s="206"/>
    </row>
    <row r="391">
      <c r="B391" s="206"/>
    </row>
    <row r="392">
      <c r="B392" s="206"/>
    </row>
    <row r="393">
      <c r="B393" s="206"/>
    </row>
    <row r="394">
      <c r="B394" s="206"/>
    </row>
    <row r="395">
      <c r="B395" s="206"/>
    </row>
    <row r="396">
      <c r="B396" s="206"/>
    </row>
    <row r="397">
      <c r="B397" s="206"/>
    </row>
    <row r="398">
      <c r="B398" s="206"/>
    </row>
    <row r="399">
      <c r="B399" s="206"/>
    </row>
    <row r="400">
      <c r="B400" s="206"/>
    </row>
    <row r="401">
      <c r="B401" s="206"/>
    </row>
    <row r="402">
      <c r="B402" s="206"/>
    </row>
    <row r="403">
      <c r="B403" s="206"/>
    </row>
    <row r="404">
      <c r="B404" s="206"/>
    </row>
    <row r="405">
      <c r="B405" s="206"/>
    </row>
    <row r="406">
      <c r="B406" s="206"/>
    </row>
    <row r="407">
      <c r="B407" s="206"/>
    </row>
    <row r="408">
      <c r="B408" s="206"/>
    </row>
    <row r="409">
      <c r="B409" s="206"/>
    </row>
    <row r="410">
      <c r="B410" s="206"/>
    </row>
    <row r="411">
      <c r="B411" s="206"/>
    </row>
    <row r="412">
      <c r="B412" s="206"/>
    </row>
    <row r="413">
      <c r="B413" s="206"/>
    </row>
    <row r="414">
      <c r="B414" s="206"/>
    </row>
    <row r="415">
      <c r="B415" s="206"/>
    </row>
    <row r="416">
      <c r="B416" s="206"/>
    </row>
    <row r="417">
      <c r="B417" s="206"/>
    </row>
    <row r="418">
      <c r="B418" s="206"/>
    </row>
    <row r="419">
      <c r="B419" s="206"/>
    </row>
    <row r="420">
      <c r="B420" s="206"/>
    </row>
    <row r="421">
      <c r="B421" s="206"/>
    </row>
    <row r="422">
      <c r="B422" s="206"/>
    </row>
    <row r="423">
      <c r="B423" s="206"/>
    </row>
    <row r="424">
      <c r="B424" s="206"/>
    </row>
    <row r="425">
      <c r="B425" s="206"/>
    </row>
    <row r="426">
      <c r="B426" s="206"/>
    </row>
    <row r="427">
      <c r="B427" s="206"/>
    </row>
    <row r="428">
      <c r="B428" s="206"/>
    </row>
    <row r="429">
      <c r="B429" s="206"/>
    </row>
    <row r="430">
      <c r="B430" s="206"/>
    </row>
    <row r="431">
      <c r="B431" s="206"/>
    </row>
    <row r="432">
      <c r="B432" s="206"/>
    </row>
    <row r="433">
      <c r="B433" s="206"/>
    </row>
    <row r="434">
      <c r="B434" s="206"/>
    </row>
    <row r="435">
      <c r="B435" s="206"/>
    </row>
    <row r="436">
      <c r="B436" s="206"/>
    </row>
    <row r="437">
      <c r="B437" s="206"/>
    </row>
    <row r="438">
      <c r="B438" s="206"/>
    </row>
    <row r="439">
      <c r="B439" s="206"/>
    </row>
    <row r="440">
      <c r="B440" s="206"/>
    </row>
    <row r="441">
      <c r="B441" s="206"/>
    </row>
    <row r="442">
      <c r="B442" s="206"/>
    </row>
    <row r="443">
      <c r="B443" s="206"/>
    </row>
    <row r="444">
      <c r="B444" s="206"/>
    </row>
    <row r="445">
      <c r="B445" s="206"/>
    </row>
    <row r="446">
      <c r="B446" s="206"/>
    </row>
    <row r="447">
      <c r="B447" s="206"/>
    </row>
    <row r="448">
      <c r="B448" s="206"/>
    </row>
    <row r="449">
      <c r="B449" s="206"/>
    </row>
    <row r="450">
      <c r="B450" s="206"/>
    </row>
    <row r="451">
      <c r="B451" s="206"/>
    </row>
    <row r="452">
      <c r="B452" s="206"/>
    </row>
    <row r="453">
      <c r="B453" s="206"/>
    </row>
    <row r="454">
      <c r="B454" s="206"/>
    </row>
    <row r="455">
      <c r="B455" s="206"/>
    </row>
    <row r="456">
      <c r="B456" s="206"/>
    </row>
    <row r="457">
      <c r="B457" s="206"/>
    </row>
    <row r="458">
      <c r="B458" s="206"/>
    </row>
    <row r="459">
      <c r="B459" s="206"/>
    </row>
    <row r="460">
      <c r="B460" s="206"/>
    </row>
    <row r="461">
      <c r="B461" s="206"/>
    </row>
    <row r="462">
      <c r="B462" s="206"/>
    </row>
    <row r="463">
      <c r="B463" s="206"/>
    </row>
    <row r="464">
      <c r="B464" s="206"/>
    </row>
    <row r="465">
      <c r="B465" s="206"/>
    </row>
    <row r="466">
      <c r="B466" s="206"/>
    </row>
    <row r="467">
      <c r="B467" s="206"/>
    </row>
    <row r="468">
      <c r="B468" s="206"/>
    </row>
    <row r="469">
      <c r="B469" s="206"/>
    </row>
    <row r="470">
      <c r="B470" s="206"/>
    </row>
    <row r="471">
      <c r="B471" s="206"/>
    </row>
    <row r="472">
      <c r="B472" s="206"/>
    </row>
    <row r="473">
      <c r="B473" s="206"/>
    </row>
    <row r="474">
      <c r="B474" s="206"/>
    </row>
    <row r="475">
      <c r="B475" s="206"/>
    </row>
    <row r="476">
      <c r="B476" s="206"/>
    </row>
    <row r="477">
      <c r="B477" s="206"/>
    </row>
    <row r="478">
      <c r="B478" s="206"/>
    </row>
    <row r="479">
      <c r="B479" s="206"/>
    </row>
    <row r="480">
      <c r="B480" s="206"/>
    </row>
    <row r="481">
      <c r="B481" s="206"/>
    </row>
    <row r="482">
      <c r="B482" s="206"/>
    </row>
    <row r="483">
      <c r="B483" s="206"/>
    </row>
    <row r="484">
      <c r="B484" s="206"/>
    </row>
    <row r="485">
      <c r="B485" s="206"/>
    </row>
    <row r="486">
      <c r="B486" s="206"/>
    </row>
    <row r="487">
      <c r="B487" s="206"/>
    </row>
    <row r="488">
      <c r="B488" s="206"/>
    </row>
    <row r="489">
      <c r="B489" s="206"/>
    </row>
    <row r="490">
      <c r="B490" s="206"/>
    </row>
    <row r="491">
      <c r="B491" s="206"/>
    </row>
    <row r="492">
      <c r="B492" s="206"/>
    </row>
    <row r="493">
      <c r="B493" s="206"/>
    </row>
    <row r="494">
      <c r="B494" s="206"/>
    </row>
    <row r="495">
      <c r="B495" s="206"/>
    </row>
    <row r="496">
      <c r="B496" s="206"/>
    </row>
    <row r="497">
      <c r="B497" s="206"/>
    </row>
    <row r="498">
      <c r="B498" s="206"/>
    </row>
    <row r="499">
      <c r="B499" s="206"/>
    </row>
    <row r="500">
      <c r="B500" s="206"/>
    </row>
    <row r="501">
      <c r="B501" s="206"/>
    </row>
    <row r="502">
      <c r="B502" s="206"/>
    </row>
    <row r="503">
      <c r="B503" s="206"/>
    </row>
    <row r="504">
      <c r="B504" s="206"/>
    </row>
    <row r="505">
      <c r="B505" s="206"/>
    </row>
    <row r="506">
      <c r="B506" s="206"/>
    </row>
    <row r="507">
      <c r="B507" s="206"/>
    </row>
    <row r="508">
      <c r="B508" s="206"/>
    </row>
    <row r="509">
      <c r="B509" s="206"/>
    </row>
    <row r="510">
      <c r="B510" s="206"/>
    </row>
    <row r="511">
      <c r="B511" s="206"/>
    </row>
    <row r="512">
      <c r="B512" s="206"/>
    </row>
    <row r="513">
      <c r="B513" s="206"/>
    </row>
    <row r="514">
      <c r="B514" s="206"/>
    </row>
    <row r="515">
      <c r="B515" s="206"/>
    </row>
    <row r="516">
      <c r="B516" s="206"/>
    </row>
    <row r="517">
      <c r="B517" s="206"/>
    </row>
    <row r="518">
      <c r="B518" s="206"/>
    </row>
    <row r="519">
      <c r="B519" s="206"/>
    </row>
    <row r="520">
      <c r="B520" s="206"/>
    </row>
    <row r="521">
      <c r="B521" s="206"/>
    </row>
    <row r="522">
      <c r="B522" s="206"/>
    </row>
    <row r="523">
      <c r="B523" s="206"/>
    </row>
    <row r="524">
      <c r="B524" s="206"/>
    </row>
    <row r="525">
      <c r="B525" s="206"/>
    </row>
    <row r="526">
      <c r="B526" s="206"/>
    </row>
    <row r="527">
      <c r="B527" s="206"/>
    </row>
    <row r="528">
      <c r="B528" s="206"/>
    </row>
    <row r="529">
      <c r="B529" s="206"/>
    </row>
    <row r="530">
      <c r="B530" s="206"/>
    </row>
    <row r="531">
      <c r="B531" s="206"/>
    </row>
    <row r="532">
      <c r="B532" s="206"/>
    </row>
    <row r="533">
      <c r="B533" s="206"/>
    </row>
    <row r="534">
      <c r="B534" s="206"/>
    </row>
    <row r="535">
      <c r="B535" s="206"/>
    </row>
    <row r="536">
      <c r="B536" s="206"/>
    </row>
    <row r="537">
      <c r="B537" s="206"/>
    </row>
    <row r="538">
      <c r="B538" s="206"/>
    </row>
    <row r="539">
      <c r="B539" s="206"/>
    </row>
    <row r="540">
      <c r="B540" s="206"/>
    </row>
    <row r="541">
      <c r="B541" s="206"/>
    </row>
    <row r="542">
      <c r="B542" s="206"/>
    </row>
    <row r="543">
      <c r="B543" s="206"/>
    </row>
    <row r="544">
      <c r="B544" s="206"/>
    </row>
    <row r="545">
      <c r="B545" s="206"/>
    </row>
    <row r="546">
      <c r="B546" s="206"/>
    </row>
    <row r="547">
      <c r="B547" s="206"/>
    </row>
    <row r="548">
      <c r="B548" s="206"/>
    </row>
    <row r="549">
      <c r="B549" s="206"/>
    </row>
    <row r="550">
      <c r="B550" s="206"/>
    </row>
    <row r="551">
      <c r="B551" s="206"/>
    </row>
    <row r="552">
      <c r="B552" s="206"/>
    </row>
    <row r="553">
      <c r="B553" s="206"/>
    </row>
    <row r="554">
      <c r="B554" s="206"/>
    </row>
    <row r="555">
      <c r="B555" s="206"/>
    </row>
    <row r="556">
      <c r="B556" s="206"/>
    </row>
    <row r="557">
      <c r="B557" s="206"/>
    </row>
    <row r="558">
      <c r="B558" s="206"/>
    </row>
    <row r="559">
      <c r="B559" s="206"/>
    </row>
    <row r="560">
      <c r="B560" s="206"/>
    </row>
    <row r="561">
      <c r="B561" s="206"/>
    </row>
    <row r="562">
      <c r="B562" s="206"/>
    </row>
    <row r="563">
      <c r="B563" s="206"/>
    </row>
    <row r="564">
      <c r="B564" s="206"/>
    </row>
    <row r="565">
      <c r="B565" s="206"/>
    </row>
    <row r="566">
      <c r="B566" s="206"/>
    </row>
    <row r="567">
      <c r="B567" s="206"/>
    </row>
    <row r="568">
      <c r="B568" s="206"/>
    </row>
    <row r="569">
      <c r="B569" s="206"/>
    </row>
    <row r="570">
      <c r="B570" s="206"/>
    </row>
    <row r="571">
      <c r="B571" s="206"/>
    </row>
    <row r="572">
      <c r="B572" s="206"/>
    </row>
    <row r="573">
      <c r="B573" s="206"/>
    </row>
    <row r="574">
      <c r="B574" s="206"/>
    </row>
    <row r="575">
      <c r="B575" s="206"/>
    </row>
    <row r="576">
      <c r="B576" s="206"/>
    </row>
    <row r="577">
      <c r="B577" s="206"/>
    </row>
    <row r="578">
      <c r="B578" s="206"/>
    </row>
    <row r="579">
      <c r="B579" s="206"/>
    </row>
    <row r="580">
      <c r="B580" s="206"/>
    </row>
    <row r="581">
      <c r="B581" s="206"/>
    </row>
    <row r="582">
      <c r="B582" s="206"/>
    </row>
    <row r="583">
      <c r="B583" s="206"/>
    </row>
    <row r="584">
      <c r="B584" s="206"/>
    </row>
    <row r="585">
      <c r="B585" s="206"/>
    </row>
    <row r="586">
      <c r="B586" s="206"/>
    </row>
    <row r="587">
      <c r="B587" s="206"/>
    </row>
    <row r="588">
      <c r="B588" s="206"/>
    </row>
    <row r="589">
      <c r="B589" s="206"/>
    </row>
    <row r="590">
      <c r="B590" s="206"/>
    </row>
    <row r="591">
      <c r="B591" s="206"/>
    </row>
    <row r="592">
      <c r="B592" s="206"/>
    </row>
    <row r="593">
      <c r="B593" s="206"/>
    </row>
    <row r="594">
      <c r="B594" s="206"/>
    </row>
    <row r="595">
      <c r="B595" s="206"/>
    </row>
    <row r="596">
      <c r="B596" s="206"/>
    </row>
    <row r="597">
      <c r="B597" s="206"/>
    </row>
    <row r="598">
      <c r="B598" s="206"/>
    </row>
    <row r="599">
      <c r="B599" s="206"/>
    </row>
    <row r="600">
      <c r="B600" s="206"/>
    </row>
    <row r="601">
      <c r="B601" s="206"/>
    </row>
    <row r="602">
      <c r="B602" s="206"/>
    </row>
    <row r="603">
      <c r="B603" s="206"/>
    </row>
    <row r="604">
      <c r="B604" s="206"/>
    </row>
    <row r="605">
      <c r="B605" s="206"/>
    </row>
    <row r="606">
      <c r="B606" s="206"/>
    </row>
    <row r="607">
      <c r="B607" s="206"/>
    </row>
    <row r="608">
      <c r="B608" s="206"/>
    </row>
    <row r="609">
      <c r="B609" s="206"/>
    </row>
    <row r="610">
      <c r="B610" s="206"/>
    </row>
    <row r="611">
      <c r="B611" s="206"/>
    </row>
    <row r="612">
      <c r="B612" s="206"/>
    </row>
    <row r="613">
      <c r="B613" s="206"/>
    </row>
    <row r="614">
      <c r="B614" s="206"/>
    </row>
    <row r="615">
      <c r="B615" s="206"/>
    </row>
    <row r="616">
      <c r="B616" s="206"/>
    </row>
    <row r="617">
      <c r="B617" s="206"/>
    </row>
    <row r="618">
      <c r="B618" s="206"/>
    </row>
    <row r="619">
      <c r="B619" s="206"/>
    </row>
    <row r="620">
      <c r="B620" s="206"/>
    </row>
    <row r="621">
      <c r="B621" s="206"/>
    </row>
    <row r="622">
      <c r="B622" s="206"/>
    </row>
    <row r="623">
      <c r="B623" s="206"/>
    </row>
    <row r="624">
      <c r="B624" s="206"/>
    </row>
    <row r="625">
      <c r="B625" s="206"/>
    </row>
    <row r="626">
      <c r="B626" s="206"/>
    </row>
    <row r="627">
      <c r="B627" s="206"/>
    </row>
    <row r="628">
      <c r="B628" s="206"/>
    </row>
    <row r="629">
      <c r="B629" s="206"/>
    </row>
    <row r="630">
      <c r="B630" s="206"/>
    </row>
    <row r="631">
      <c r="B631" s="206"/>
    </row>
    <row r="632">
      <c r="B632" s="206"/>
    </row>
    <row r="633">
      <c r="B633" s="206"/>
    </row>
    <row r="634">
      <c r="B634" s="206"/>
    </row>
    <row r="635">
      <c r="B635" s="206"/>
    </row>
    <row r="636">
      <c r="B636" s="206"/>
    </row>
    <row r="637">
      <c r="B637" s="206"/>
    </row>
    <row r="638">
      <c r="B638" s="206"/>
    </row>
    <row r="639">
      <c r="B639" s="206"/>
    </row>
    <row r="640">
      <c r="B640" s="206"/>
    </row>
    <row r="641">
      <c r="B641" s="206"/>
    </row>
    <row r="642">
      <c r="B642" s="206"/>
    </row>
    <row r="643">
      <c r="B643" s="206"/>
    </row>
    <row r="644">
      <c r="B644" s="206"/>
    </row>
    <row r="645">
      <c r="B645" s="206"/>
    </row>
    <row r="646">
      <c r="B646" s="206"/>
    </row>
    <row r="647">
      <c r="B647" s="206"/>
    </row>
    <row r="648">
      <c r="B648" s="206"/>
    </row>
    <row r="649">
      <c r="B649" s="206"/>
    </row>
    <row r="650">
      <c r="B650" s="206"/>
    </row>
    <row r="651">
      <c r="B651" s="206"/>
    </row>
    <row r="652">
      <c r="B652" s="206"/>
    </row>
    <row r="653">
      <c r="B653" s="206"/>
    </row>
    <row r="654">
      <c r="B654" s="206"/>
    </row>
    <row r="655">
      <c r="B655" s="206"/>
    </row>
    <row r="656">
      <c r="B656" s="206"/>
    </row>
    <row r="657">
      <c r="B657" s="206"/>
    </row>
    <row r="658">
      <c r="B658" s="206"/>
    </row>
    <row r="659">
      <c r="B659" s="206"/>
    </row>
    <row r="660">
      <c r="B660" s="206"/>
    </row>
    <row r="661">
      <c r="B661" s="206"/>
    </row>
    <row r="662">
      <c r="B662" s="206"/>
    </row>
    <row r="663">
      <c r="B663" s="206"/>
    </row>
    <row r="664">
      <c r="B664" s="206"/>
    </row>
    <row r="665">
      <c r="B665" s="206"/>
    </row>
    <row r="666">
      <c r="B666" s="206"/>
    </row>
    <row r="667">
      <c r="B667" s="206"/>
    </row>
    <row r="668">
      <c r="B668" s="206"/>
    </row>
    <row r="669">
      <c r="B669" s="206"/>
    </row>
    <row r="670">
      <c r="B670" s="206"/>
    </row>
    <row r="671">
      <c r="B671" s="206"/>
    </row>
    <row r="672">
      <c r="B672" s="206"/>
    </row>
    <row r="673">
      <c r="B673" s="206"/>
    </row>
    <row r="674">
      <c r="B674" s="206"/>
    </row>
    <row r="675">
      <c r="B675" s="206"/>
    </row>
    <row r="676">
      <c r="B676" s="206"/>
    </row>
    <row r="677">
      <c r="B677" s="206"/>
    </row>
    <row r="678">
      <c r="B678" s="206"/>
    </row>
    <row r="679">
      <c r="B679" s="206"/>
    </row>
    <row r="680">
      <c r="B680" s="206"/>
    </row>
    <row r="681">
      <c r="B681" s="206"/>
    </row>
    <row r="682">
      <c r="B682" s="206"/>
    </row>
    <row r="683">
      <c r="B683" s="206"/>
    </row>
    <row r="684">
      <c r="B684" s="206"/>
    </row>
    <row r="685">
      <c r="B685" s="206"/>
    </row>
    <row r="686">
      <c r="B686" s="206"/>
    </row>
    <row r="687">
      <c r="B687" s="206"/>
    </row>
    <row r="688">
      <c r="B688" s="206"/>
    </row>
    <row r="689">
      <c r="B689" s="206"/>
    </row>
    <row r="690">
      <c r="B690" s="206"/>
    </row>
    <row r="691">
      <c r="B691" s="206"/>
    </row>
    <row r="692">
      <c r="B692" s="206"/>
    </row>
    <row r="693">
      <c r="B693" s="206"/>
    </row>
    <row r="694">
      <c r="B694" s="206"/>
    </row>
    <row r="695">
      <c r="B695" s="206"/>
    </row>
    <row r="696">
      <c r="B696" s="206"/>
    </row>
    <row r="697">
      <c r="B697" s="206"/>
    </row>
    <row r="698">
      <c r="B698" s="206"/>
    </row>
    <row r="699">
      <c r="B699" s="206"/>
    </row>
    <row r="700">
      <c r="B700" s="206"/>
    </row>
    <row r="701">
      <c r="B701" s="206"/>
    </row>
    <row r="702">
      <c r="B702" s="206"/>
    </row>
    <row r="703">
      <c r="B703" s="206"/>
    </row>
    <row r="704">
      <c r="B704" s="206"/>
    </row>
    <row r="705">
      <c r="B705" s="206"/>
    </row>
    <row r="706">
      <c r="B706" s="206"/>
    </row>
    <row r="707">
      <c r="B707" s="206"/>
    </row>
    <row r="708">
      <c r="B708" s="206"/>
    </row>
    <row r="709">
      <c r="B709" s="206"/>
    </row>
    <row r="710">
      <c r="B710" s="206"/>
    </row>
    <row r="711">
      <c r="B711" s="206"/>
    </row>
    <row r="712">
      <c r="B712" s="206"/>
    </row>
    <row r="713">
      <c r="B713" s="206"/>
    </row>
    <row r="714">
      <c r="B714" s="206"/>
    </row>
    <row r="715">
      <c r="B715" s="206"/>
    </row>
    <row r="716">
      <c r="B716" s="206"/>
    </row>
    <row r="717">
      <c r="B717" s="206"/>
    </row>
    <row r="718">
      <c r="B718" s="206"/>
    </row>
    <row r="719">
      <c r="B719" s="206"/>
    </row>
    <row r="720">
      <c r="B720" s="206"/>
    </row>
    <row r="721">
      <c r="B721" s="206"/>
    </row>
    <row r="722">
      <c r="B722" s="206"/>
    </row>
    <row r="723">
      <c r="B723" s="206"/>
    </row>
    <row r="724">
      <c r="B724" s="206"/>
    </row>
    <row r="725">
      <c r="B725" s="206"/>
    </row>
    <row r="726">
      <c r="B726" s="206"/>
    </row>
    <row r="727">
      <c r="B727" s="206"/>
    </row>
    <row r="728">
      <c r="B728" s="206"/>
    </row>
    <row r="729">
      <c r="B729" s="206"/>
    </row>
    <row r="730">
      <c r="B730" s="206"/>
    </row>
    <row r="731">
      <c r="B731" s="206"/>
    </row>
    <row r="732">
      <c r="B732" s="206"/>
    </row>
    <row r="733">
      <c r="B733" s="206"/>
    </row>
    <row r="734">
      <c r="B734" s="206"/>
    </row>
    <row r="735">
      <c r="B735" s="206"/>
    </row>
    <row r="736">
      <c r="B736" s="206"/>
    </row>
    <row r="737">
      <c r="B737" s="206"/>
    </row>
    <row r="738">
      <c r="B738" s="206"/>
    </row>
    <row r="739">
      <c r="B739" s="206"/>
    </row>
    <row r="740">
      <c r="B740" s="206"/>
    </row>
    <row r="741">
      <c r="B741" s="206"/>
    </row>
    <row r="742">
      <c r="B742" s="206"/>
    </row>
    <row r="743">
      <c r="B743" s="206"/>
    </row>
    <row r="744">
      <c r="B744" s="206"/>
    </row>
    <row r="745">
      <c r="B745" s="206"/>
    </row>
    <row r="746">
      <c r="B746" s="206"/>
    </row>
    <row r="747">
      <c r="B747" s="206"/>
    </row>
    <row r="748">
      <c r="B748" s="206"/>
    </row>
    <row r="749">
      <c r="B749" s="206"/>
    </row>
    <row r="750">
      <c r="B750" s="206"/>
    </row>
    <row r="751">
      <c r="B751" s="206"/>
    </row>
    <row r="752">
      <c r="B752" s="206"/>
    </row>
    <row r="753">
      <c r="B753" s="206"/>
    </row>
    <row r="754">
      <c r="B754" s="206"/>
    </row>
    <row r="755">
      <c r="B755" s="206"/>
    </row>
    <row r="756">
      <c r="B756" s="206"/>
    </row>
    <row r="757">
      <c r="B757" s="206"/>
    </row>
    <row r="758">
      <c r="B758" s="206"/>
    </row>
    <row r="759">
      <c r="B759" s="206"/>
    </row>
    <row r="760">
      <c r="B760" s="206"/>
    </row>
    <row r="761">
      <c r="B761" s="206"/>
    </row>
    <row r="762">
      <c r="B762" s="206"/>
    </row>
    <row r="763">
      <c r="B763" s="206"/>
    </row>
    <row r="764">
      <c r="B764" s="206"/>
    </row>
    <row r="765">
      <c r="B765" s="206"/>
    </row>
    <row r="766">
      <c r="B766" s="206"/>
    </row>
    <row r="767">
      <c r="B767" s="206"/>
    </row>
    <row r="768">
      <c r="B768" s="206"/>
    </row>
    <row r="769">
      <c r="B769" s="206"/>
    </row>
    <row r="770">
      <c r="B770" s="206"/>
    </row>
    <row r="771">
      <c r="B771" s="206"/>
    </row>
    <row r="772">
      <c r="B772" s="206"/>
    </row>
    <row r="773">
      <c r="B773" s="206"/>
    </row>
    <row r="774">
      <c r="B774" s="206"/>
    </row>
    <row r="775">
      <c r="B775" s="206"/>
    </row>
    <row r="776">
      <c r="B776" s="206"/>
    </row>
    <row r="777">
      <c r="B777" s="206"/>
    </row>
    <row r="778">
      <c r="B778" s="206"/>
    </row>
    <row r="779">
      <c r="B779" s="206"/>
    </row>
    <row r="780">
      <c r="B780" s="206"/>
    </row>
    <row r="781">
      <c r="B781" s="206"/>
    </row>
    <row r="782">
      <c r="B782" s="206"/>
    </row>
    <row r="783">
      <c r="B783" s="206"/>
    </row>
    <row r="784">
      <c r="B784" s="206"/>
    </row>
    <row r="785">
      <c r="B785" s="206"/>
    </row>
    <row r="786">
      <c r="B786" s="206"/>
    </row>
    <row r="787">
      <c r="B787" s="206"/>
    </row>
    <row r="788">
      <c r="B788" s="206"/>
    </row>
    <row r="789">
      <c r="B789" s="206"/>
    </row>
    <row r="790">
      <c r="B790" s="206"/>
    </row>
    <row r="791">
      <c r="B791" s="206"/>
    </row>
    <row r="792">
      <c r="B792" s="206"/>
    </row>
    <row r="793">
      <c r="B793" s="206"/>
    </row>
    <row r="794">
      <c r="B794" s="206"/>
    </row>
    <row r="795">
      <c r="B795" s="206"/>
    </row>
    <row r="796">
      <c r="B796" s="206"/>
    </row>
    <row r="797">
      <c r="B797" s="206"/>
    </row>
    <row r="798">
      <c r="B798" s="206"/>
    </row>
    <row r="799">
      <c r="B799" s="206"/>
    </row>
    <row r="800">
      <c r="B800" s="206"/>
    </row>
    <row r="801">
      <c r="B801" s="206"/>
    </row>
    <row r="802">
      <c r="B802" s="206"/>
    </row>
    <row r="803">
      <c r="B803" s="206"/>
    </row>
    <row r="804">
      <c r="B804" s="206"/>
    </row>
    <row r="805">
      <c r="B805" s="206"/>
    </row>
    <row r="806">
      <c r="B806" s="206"/>
    </row>
    <row r="807">
      <c r="B807" s="206"/>
    </row>
    <row r="808">
      <c r="B808" s="206"/>
    </row>
    <row r="809">
      <c r="B809" s="206"/>
    </row>
    <row r="810">
      <c r="B810" s="206"/>
    </row>
    <row r="811">
      <c r="B811" s="206"/>
    </row>
    <row r="812">
      <c r="B812" s="206"/>
    </row>
    <row r="813">
      <c r="B813" s="206"/>
    </row>
    <row r="814">
      <c r="B814" s="206"/>
    </row>
    <row r="815">
      <c r="B815" s="206"/>
    </row>
    <row r="816">
      <c r="B816" s="206"/>
    </row>
    <row r="817">
      <c r="B817" s="206"/>
    </row>
    <row r="818">
      <c r="B818" s="206"/>
    </row>
    <row r="819">
      <c r="B819" s="206"/>
    </row>
    <row r="820">
      <c r="B820" s="206"/>
    </row>
    <row r="821">
      <c r="B821" s="206"/>
    </row>
    <row r="822">
      <c r="B822" s="206"/>
    </row>
    <row r="823">
      <c r="B823" s="206"/>
    </row>
    <row r="824">
      <c r="B824" s="206"/>
    </row>
    <row r="825">
      <c r="B825" s="206"/>
    </row>
    <row r="826">
      <c r="B826" s="206"/>
    </row>
    <row r="827">
      <c r="B827" s="206"/>
    </row>
    <row r="828">
      <c r="B828" s="206"/>
    </row>
    <row r="829">
      <c r="B829" s="206"/>
    </row>
    <row r="830">
      <c r="B830" s="206"/>
    </row>
    <row r="831">
      <c r="B831" s="206"/>
    </row>
    <row r="832">
      <c r="B832" s="206"/>
    </row>
    <row r="833">
      <c r="B833" s="206"/>
    </row>
    <row r="834">
      <c r="B834" s="206"/>
    </row>
    <row r="835">
      <c r="B835" s="206"/>
    </row>
    <row r="836">
      <c r="B836" s="206"/>
    </row>
    <row r="837">
      <c r="B837" s="206"/>
    </row>
    <row r="838">
      <c r="B838" s="206"/>
    </row>
    <row r="839">
      <c r="B839" s="206"/>
    </row>
    <row r="840">
      <c r="B840" s="206"/>
    </row>
    <row r="841">
      <c r="B841" s="206"/>
    </row>
    <row r="842">
      <c r="B842" s="206"/>
    </row>
    <row r="843">
      <c r="B843" s="206"/>
    </row>
    <row r="844">
      <c r="B844" s="206"/>
    </row>
    <row r="845">
      <c r="B845" s="206"/>
    </row>
    <row r="846">
      <c r="B846" s="206"/>
    </row>
    <row r="847">
      <c r="B847" s="206"/>
    </row>
    <row r="848">
      <c r="B848" s="206"/>
    </row>
    <row r="849">
      <c r="B849" s="206"/>
    </row>
    <row r="850">
      <c r="B850" s="206"/>
    </row>
    <row r="851">
      <c r="B851" s="206"/>
    </row>
    <row r="852">
      <c r="B852" s="206"/>
    </row>
    <row r="853">
      <c r="B853" s="206"/>
    </row>
    <row r="854">
      <c r="B854" s="206"/>
    </row>
    <row r="855">
      <c r="B855" s="206"/>
    </row>
    <row r="856">
      <c r="B856" s="206"/>
    </row>
    <row r="857">
      <c r="B857" s="206"/>
    </row>
    <row r="858">
      <c r="B858" s="206"/>
    </row>
    <row r="859">
      <c r="B859" s="206"/>
    </row>
    <row r="860">
      <c r="B860" s="206"/>
    </row>
    <row r="861">
      <c r="B861" s="206"/>
    </row>
    <row r="862">
      <c r="B862" s="206"/>
    </row>
    <row r="863">
      <c r="B863" s="206"/>
    </row>
    <row r="864">
      <c r="B864" s="206"/>
    </row>
    <row r="865">
      <c r="B865" s="206"/>
    </row>
    <row r="866">
      <c r="B866" s="206"/>
    </row>
    <row r="867">
      <c r="B867" s="206"/>
    </row>
    <row r="868">
      <c r="B868" s="206"/>
    </row>
    <row r="869">
      <c r="B869" s="206"/>
    </row>
    <row r="870">
      <c r="B870" s="206"/>
    </row>
    <row r="871">
      <c r="B871" s="206"/>
    </row>
    <row r="872">
      <c r="B872" s="206"/>
    </row>
    <row r="873">
      <c r="B873" s="206"/>
    </row>
    <row r="874">
      <c r="B874" s="206"/>
    </row>
    <row r="875">
      <c r="B875" s="206"/>
    </row>
    <row r="876">
      <c r="B876" s="206"/>
    </row>
    <row r="877">
      <c r="B877" s="206"/>
    </row>
    <row r="878">
      <c r="B878" s="206"/>
    </row>
    <row r="879">
      <c r="B879" s="206"/>
    </row>
    <row r="880">
      <c r="B880" s="206"/>
    </row>
    <row r="881">
      <c r="B881" s="206"/>
    </row>
    <row r="882">
      <c r="B882" s="206"/>
    </row>
    <row r="883">
      <c r="B883" s="206"/>
    </row>
    <row r="884">
      <c r="B884" s="206"/>
    </row>
    <row r="885">
      <c r="B885" s="206"/>
    </row>
    <row r="886">
      <c r="B886" s="206"/>
    </row>
    <row r="887">
      <c r="B887" s="206"/>
    </row>
    <row r="888">
      <c r="B888" s="206"/>
    </row>
    <row r="889">
      <c r="B889" s="206"/>
    </row>
    <row r="890">
      <c r="B890" s="206"/>
    </row>
    <row r="891">
      <c r="B891" s="206"/>
    </row>
    <row r="892">
      <c r="B892" s="206"/>
    </row>
    <row r="893">
      <c r="B893" s="206"/>
    </row>
    <row r="894">
      <c r="B894" s="206"/>
    </row>
    <row r="895">
      <c r="B895" s="206"/>
    </row>
    <row r="896">
      <c r="B896" s="206"/>
    </row>
    <row r="897">
      <c r="B897" s="206"/>
    </row>
    <row r="898">
      <c r="B898" s="206"/>
    </row>
    <row r="899">
      <c r="B899" s="206"/>
    </row>
    <row r="900">
      <c r="B900" s="206"/>
    </row>
    <row r="901">
      <c r="B901" s="206"/>
    </row>
    <row r="902">
      <c r="B902" s="206"/>
    </row>
    <row r="903">
      <c r="B903" s="206"/>
    </row>
    <row r="904">
      <c r="B904" s="206"/>
    </row>
    <row r="905">
      <c r="B905" s="206"/>
    </row>
    <row r="906">
      <c r="B906" s="206"/>
    </row>
    <row r="907">
      <c r="B907" s="206"/>
    </row>
    <row r="908">
      <c r="B908" s="206"/>
    </row>
    <row r="909">
      <c r="B909" s="206"/>
    </row>
    <row r="910">
      <c r="B910" s="206"/>
    </row>
    <row r="911">
      <c r="B911" s="206"/>
    </row>
    <row r="912">
      <c r="B912" s="206"/>
    </row>
    <row r="913">
      <c r="B913" s="206"/>
    </row>
    <row r="914">
      <c r="B914" s="206"/>
    </row>
    <row r="915">
      <c r="B915" s="206"/>
    </row>
    <row r="916">
      <c r="B916" s="206"/>
    </row>
    <row r="917">
      <c r="B917" s="206"/>
    </row>
    <row r="918">
      <c r="B918" s="206"/>
    </row>
    <row r="919">
      <c r="B919" s="206"/>
    </row>
    <row r="920">
      <c r="B920" s="206"/>
    </row>
    <row r="921">
      <c r="B921" s="206"/>
    </row>
    <row r="922">
      <c r="B922" s="206"/>
    </row>
    <row r="923">
      <c r="B923" s="206"/>
    </row>
    <row r="924">
      <c r="B924" s="206"/>
    </row>
    <row r="925">
      <c r="B925" s="206"/>
    </row>
    <row r="926">
      <c r="B926" s="206"/>
    </row>
    <row r="927">
      <c r="B927" s="206"/>
    </row>
    <row r="928">
      <c r="B928" s="206"/>
    </row>
    <row r="929">
      <c r="B929" s="206"/>
    </row>
    <row r="930">
      <c r="B930" s="206"/>
    </row>
    <row r="931">
      <c r="B931" s="206"/>
    </row>
    <row r="932">
      <c r="B932" s="206"/>
    </row>
    <row r="933">
      <c r="B933" s="206"/>
    </row>
    <row r="934">
      <c r="B934" s="206"/>
    </row>
    <row r="935">
      <c r="B935" s="206"/>
    </row>
    <row r="936">
      <c r="B936" s="206"/>
    </row>
    <row r="937">
      <c r="B937" s="206"/>
    </row>
    <row r="938">
      <c r="B938" s="206"/>
    </row>
    <row r="939">
      <c r="B939" s="206"/>
    </row>
    <row r="940">
      <c r="B940" s="206"/>
    </row>
    <row r="941">
      <c r="B941" s="206"/>
    </row>
    <row r="942">
      <c r="B942" s="206"/>
    </row>
    <row r="943">
      <c r="B943" s="206"/>
    </row>
    <row r="944">
      <c r="B944" s="206"/>
    </row>
    <row r="945">
      <c r="B945" s="206"/>
    </row>
    <row r="946">
      <c r="B946" s="206"/>
    </row>
    <row r="947">
      <c r="B947" s="206"/>
    </row>
    <row r="948">
      <c r="B948" s="206"/>
    </row>
    <row r="949">
      <c r="B949" s="206"/>
    </row>
    <row r="950">
      <c r="B950" s="206"/>
    </row>
    <row r="951">
      <c r="B951" s="206"/>
    </row>
    <row r="952">
      <c r="B952" s="206"/>
    </row>
    <row r="953">
      <c r="B953" s="206"/>
    </row>
    <row r="954">
      <c r="B954" s="206"/>
    </row>
    <row r="955">
      <c r="B955" s="206"/>
    </row>
    <row r="956">
      <c r="B956" s="206"/>
    </row>
    <row r="957">
      <c r="B957" s="206"/>
    </row>
    <row r="958">
      <c r="B958" s="206"/>
    </row>
    <row r="959">
      <c r="B959" s="206"/>
    </row>
    <row r="960">
      <c r="B960" s="206"/>
    </row>
    <row r="961">
      <c r="B961" s="206"/>
    </row>
    <row r="962">
      <c r="B962" s="206"/>
    </row>
    <row r="963">
      <c r="B963" s="206"/>
    </row>
    <row r="964">
      <c r="B964" s="206"/>
    </row>
    <row r="965">
      <c r="B965" s="206"/>
    </row>
    <row r="966">
      <c r="B966" s="206"/>
    </row>
    <row r="967">
      <c r="B967" s="206"/>
    </row>
    <row r="968">
      <c r="B968" s="206"/>
    </row>
    <row r="969">
      <c r="B969" s="206"/>
    </row>
    <row r="970">
      <c r="B970" s="206"/>
    </row>
    <row r="971">
      <c r="B971" s="206"/>
    </row>
    <row r="972">
      <c r="B972" s="206"/>
    </row>
    <row r="973">
      <c r="B973" s="206"/>
    </row>
    <row r="974">
      <c r="B974" s="206"/>
    </row>
    <row r="975">
      <c r="B975" s="206"/>
    </row>
    <row r="976">
      <c r="B976" s="206"/>
    </row>
    <row r="977">
      <c r="B977" s="206"/>
    </row>
    <row r="978">
      <c r="B978" s="206"/>
    </row>
    <row r="979">
      <c r="B979" s="206"/>
    </row>
    <row r="980">
      <c r="B980" s="206"/>
    </row>
    <row r="981">
      <c r="B981" s="206"/>
    </row>
    <row r="982">
      <c r="B982" s="206"/>
    </row>
    <row r="983">
      <c r="B983" s="206"/>
    </row>
    <row r="984">
      <c r="B984" s="206"/>
    </row>
    <row r="985">
      <c r="B985" s="206"/>
    </row>
    <row r="986">
      <c r="B986" s="206"/>
    </row>
    <row r="987">
      <c r="B987" s="206"/>
    </row>
    <row r="988">
      <c r="B988" s="206"/>
    </row>
    <row r="989">
      <c r="B989" s="206"/>
    </row>
    <row r="990">
      <c r="B990" s="206"/>
    </row>
    <row r="991">
      <c r="B991" s="206"/>
    </row>
    <row r="992">
      <c r="B992" s="206"/>
    </row>
    <row r="993">
      <c r="B993" s="206"/>
    </row>
    <row r="994">
      <c r="B994" s="206"/>
    </row>
    <row r="995">
      <c r="B995" s="206"/>
    </row>
    <row r="996">
      <c r="B996" s="206"/>
    </row>
    <row r="997">
      <c r="B997" s="206"/>
    </row>
    <row r="998">
      <c r="B998" s="206"/>
    </row>
    <row r="999">
      <c r="B999" s="206"/>
    </row>
    <row r="1000">
      <c r="B1000" s="206"/>
    </row>
    <row r="1001">
      <c r="B1001" s="206"/>
    </row>
    <row r="1002">
      <c r="B1002" s="206"/>
    </row>
    <row r="1003">
      <c r="B1003" s="206"/>
    </row>
    <row r="1004">
      <c r="B1004" s="206"/>
    </row>
  </sheetData>
  <conditionalFormatting sqref="G5 K5:N5 S5">
    <cfRule type="containsBlanks" dxfId="4" priority="1">
      <formula>LEN(TRIM(G5))=0</formula>
    </cfRule>
  </conditionalFormatting>
  <conditionalFormatting sqref="K5:N5 S5">
    <cfRule type="containsBlanks" dxfId="8" priority="2">
      <formula>LEN(TRIM(K5))=0</formula>
    </cfRule>
  </conditionalFormatting>
  <conditionalFormatting sqref="J2:M4 S2:S4">
    <cfRule type="containsBlanks" dxfId="4" priority="3">
      <formula>LEN(TRIM(J2))=0</formula>
    </cfRule>
  </conditionalFormatting>
  <conditionalFormatting sqref="M2:M4">
    <cfRule type="containsText" dxfId="23" priority="4" operator="containsText" text="IMP ESP">
      <formula>NOT(ISERROR(SEARCH(("IMP ESP"),(M2))))</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5.71"/>
    <col customWidth="1" min="4" max="4" width="12.43"/>
    <col customWidth="1" min="5" max="9" width="10.71"/>
    <col customWidth="1" min="10" max="10" width="16.71"/>
    <col customWidth="1" min="11" max="11" width="14.14"/>
    <col customWidth="1" min="12" max="23" width="10.71"/>
  </cols>
  <sheetData>
    <row r="1" ht="6.75" customHeight="1">
      <c r="A1" s="229"/>
      <c r="B1" s="229"/>
      <c r="C1" s="229"/>
    </row>
    <row r="2">
      <c r="A2" s="229"/>
      <c r="B2" s="229"/>
      <c r="C2" s="229"/>
      <c r="D2" s="230" t="s">
        <v>77</v>
      </c>
      <c r="E2" s="231">
        <f>'1.CÁL'!O6</f>
        <v>0</v>
      </c>
      <c r="F2" s="232" t="s">
        <v>144</v>
      </c>
    </row>
    <row r="3">
      <c r="A3" s="229"/>
      <c r="B3" s="229"/>
      <c r="C3" s="229"/>
      <c r="D3" s="233" t="s">
        <v>145</v>
      </c>
      <c r="E3" s="234">
        <f>CAJAS1</f>
        <v>3</v>
      </c>
      <c r="F3" s="235"/>
    </row>
    <row r="4">
      <c r="A4" s="229"/>
      <c r="B4" s="229"/>
      <c r="C4" s="229"/>
      <c r="D4" s="236" t="s">
        <v>18</v>
      </c>
      <c r="E4" s="237">
        <f>'1.CÁL'!S6</f>
        <v>0</v>
      </c>
      <c r="F4" s="232" t="s">
        <v>146</v>
      </c>
    </row>
    <row r="5">
      <c r="A5" s="229"/>
      <c r="B5" s="229"/>
      <c r="C5" s="229"/>
      <c r="D5" s="230" t="s">
        <v>19</v>
      </c>
      <c r="E5" s="231">
        <f>FLETEYIWU1</f>
        <v>0</v>
      </c>
      <c r="F5" s="232" t="s">
        <v>147</v>
      </c>
    </row>
    <row r="6">
      <c r="A6" s="229"/>
      <c r="B6" s="229"/>
      <c r="C6" s="229"/>
    </row>
    <row r="7">
      <c r="A7" s="229"/>
      <c r="B7" s="229"/>
      <c r="C7" s="229"/>
      <c r="D7" s="238" t="s">
        <v>148</v>
      </c>
      <c r="E7" s="238" t="str">
        <f>+IF($V$16&gt;2.3,IF($V$21&gt;2.3,$V$26,$V$21),$V$16)</f>
        <v>#DIV/0!</v>
      </c>
    </row>
    <row r="8">
      <c r="A8" s="229"/>
      <c r="B8" s="229"/>
      <c r="C8" s="229"/>
      <c r="D8" s="238" t="s">
        <v>149</v>
      </c>
      <c r="E8" s="239" t="str">
        <f>+E2*(E7-1)</f>
        <v>#DIV/0!</v>
      </c>
    </row>
    <row r="9">
      <c r="A9" s="229"/>
      <c r="B9" s="229"/>
      <c r="C9" s="229"/>
      <c r="D9" s="240" t="s">
        <v>56</v>
      </c>
      <c r="E9" s="241" t="str">
        <f>E2*E7</f>
        <v>#DIV/0!</v>
      </c>
      <c r="F9" s="239"/>
    </row>
    <row r="10">
      <c r="A10" s="229"/>
      <c r="B10" s="229"/>
      <c r="C10" s="229"/>
      <c r="D10" s="242" t="s">
        <v>65</v>
      </c>
      <c r="E10" s="243" t="str">
        <f>'1.CÁL'!K18</f>
        <v/>
      </c>
      <c r="F10" s="244" t="str">
        <f>'1.CÁL'!L18</f>
        <v>SIN CUIDAD DE ENTREGA</v>
      </c>
    </row>
    <row r="11">
      <c r="A11" s="229"/>
      <c r="B11" s="229"/>
      <c r="C11" s="229"/>
      <c r="E11" s="239"/>
    </row>
    <row r="12" ht="12.75" customHeight="1">
      <c r="A12" s="229"/>
      <c r="B12" s="229"/>
      <c r="C12" s="229"/>
    </row>
    <row r="13">
      <c r="A13" s="245"/>
      <c r="B13" s="245"/>
      <c r="C13" s="245"/>
      <c r="D13" s="246"/>
      <c r="E13" s="246"/>
      <c r="F13" s="246"/>
      <c r="G13" s="246"/>
      <c r="H13" s="246"/>
      <c r="I13" s="246"/>
      <c r="J13" s="246"/>
      <c r="K13" s="246"/>
      <c r="L13" s="246"/>
      <c r="M13" s="246"/>
      <c r="N13" s="246"/>
      <c r="O13" s="246"/>
      <c r="P13" s="246"/>
      <c r="Q13" s="246"/>
      <c r="R13" s="246"/>
      <c r="S13" s="246"/>
      <c r="T13" s="246"/>
      <c r="U13" s="246"/>
      <c r="V13" s="246"/>
      <c r="W13" s="246"/>
    </row>
    <row r="14">
      <c r="D14" s="238" t="s">
        <v>150</v>
      </c>
      <c r="E14" s="238" t="s">
        <v>151</v>
      </c>
      <c r="F14" s="238" t="s">
        <v>152</v>
      </c>
      <c r="G14" s="238" t="s">
        <v>153</v>
      </c>
      <c r="H14" s="238" t="s">
        <v>154</v>
      </c>
      <c r="I14" s="238" t="s">
        <v>155</v>
      </c>
      <c r="J14" s="238" t="s">
        <v>156</v>
      </c>
      <c r="K14" s="238" t="s">
        <v>157</v>
      </c>
      <c r="L14" s="238" t="s">
        <v>158</v>
      </c>
      <c r="P14" s="238" t="s">
        <v>159</v>
      </c>
      <c r="Q14" s="238" t="s">
        <v>160</v>
      </c>
      <c r="R14" s="238" t="s">
        <v>161</v>
      </c>
      <c r="S14" s="238" t="s">
        <v>162</v>
      </c>
    </row>
    <row r="15">
      <c r="A15" s="247"/>
      <c r="B15" s="247"/>
      <c r="C15" s="248" t="s">
        <v>36</v>
      </c>
      <c r="D15" s="249" t="s">
        <v>37</v>
      </c>
      <c r="E15" s="248" t="s">
        <v>38</v>
      </c>
      <c r="F15" s="248" t="s">
        <v>39</v>
      </c>
      <c r="G15" s="248" t="s">
        <v>163</v>
      </c>
      <c r="H15" s="248" t="s">
        <v>41</v>
      </c>
      <c r="I15" s="248" t="s">
        <v>164</v>
      </c>
      <c r="J15" s="248" t="s">
        <v>165</v>
      </c>
      <c r="K15" s="248" t="s">
        <v>44</v>
      </c>
      <c r="L15" s="250" t="s">
        <v>45</v>
      </c>
      <c r="M15" s="250" t="s">
        <v>46</v>
      </c>
      <c r="N15" s="75" t="s">
        <v>47</v>
      </c>
      <c r="O15" s="75" t="s">
        <v>48</v>
      </c>
      <c r="P15" s="251" t="s">
        <v>49</v>
      </c>
      <c r="Q15" s="248" t="s">
        <v>166</v>
      </c>
      <c r="R15" s="248" t="s">
        <v>51</v>
      </c>
      <c r="S15" s="250" t="s">
        <v>52</v>
      </c>
      <c r="T15" s="252" t="s">
        <v>53</v>
      </c>
      <c r="U15" s="253" t="s">
        <v>56</v>
      </c>
      <c r="V15" s="253" t="s">
        <v>148</v>
      </c>
      <c r="W15" s="254" t="s">
        <v>167</v>
      </c>
    </row>
    <row r="16">
      <c r="A16" s="255"/>
      <c r="B16" s="255"/>
      <c r="C16" s="256">
        <f>+'2.FAC'!$E$2</f>
        <v>0</v>
      </c>
      <c r="D16" s="256">
        <f>$D$30*'2.FAC'!$E$4/D45</f>
        <v>0</v>
      </c>
      <c r="E16" s="256">
        <f>$D$31*'2.FAC'!$E$4/D45</f>
        <v>0</v>
      </c>
      <c r="F16" s="256">
        <f>+('2.FAC'!$E$2+D16+E16)*$D$36</f>
        <v>0</v>
      </c>
      <c r="G16" s="256">
        <f>+(D16+E16+F16+H16+C16+J16)*$D$37</f>
        <v>0</v>
      </c>
      <c r="H16" s="257">
        <f>'2.FAC'!E5</f>
        <v>0</v>
      </c>
      <c r="I16" s="256">
        <f>+C16*3.5%</f>
        <v>0</v>
      </c>
      <c r="J16" s="258">
        <f>$D$32*'2.FAC'!$E$4/D45</f>
        <v>0</v>
      </c>
      <c r="K16" s="258">
        <f>IF(($D$33*'2.FAC'!$E$4/D45+E10)&lt;10,10,$D$33*'2.FAC'!$E$4/D45+E10)</f>
        <v>10</v>
      </c>
      <c r="L16" s="258">
        <f>+('2.FAC'!$E$2+D16+F16+S16+H16+J16+E16+Q16)*($D$38)</f>
        <v>1.8</v>
      </c>
      <c r="M16" s="258">
        <f>+('2.FAC'!$E$2+E16+D16+F16+S16+H16+J16+Q16)*($D$39)</f>
        <v>0.03</v>
      </c>
      <c r="N16" s="258" t="str">
        <f>'1.CÁL'!N14</f>
        <v>#DIV/0!</v>
      </c>
      <c r="O16" s="258">
        <f>'1.CÁL'!O14</f>
        <v>0</v>
      </c>
      <c r="P16" s="258">
        <f>+('2.FAC'!$E$2+D16+E16+F16+L16+M16+S16+J16+R16+Q16+H16)*$D$41</f>
        <v>1.1745</v>
      </c>
      <c r="Q16" s="256">
        <f>$D$40*('2.FAC'!$E$2+D16+E16+F16)+1</f>
        <v>1</v>
      </c>
      <c r="R16" s="256">
        <f>$D$35*'2.FAC'!$E$4/D45+2%*('2.FAC'!$E$2)</f>
        <v>0</v>
      </c>
      <c r="S16" s="256">
        <f>IF($D$34*'2.FAC'!$E$4/D45&lt;5,5,$D$34*'2.FAC'!$E$4/D45)</f>
        <v>5</v>
      </c>
      <c r="T16" s="256" t="str">
        <f>U16*0.6%</f>
        <v>#DIV/0!</v>
      </c>
      <c r="U16" s="256" t="str">
        <f>SUM(C16:S16)</f>
        <v>#DIV/0!</v>
      </c>
      <c r="V16" s="256" t="str">
        <f>+W16/C16</f>
        <v>#DIV/0!</v>
      </c>
      <c r="W16" s="238" t="str">
        <f>U16+T16</f>
        <v>#DIV/0!</v>
      </c>
    </row>
    <row r="17">
      <c r="A17" s="259" t="s">
        <v>168</v>
      </c>
      <c r="B17" s="260">
        <f>E2+E5</f>
        <v>0</v>
      </c>
      <c r="D17" s="203" t="str">
        <f>'1.CÁL'!D14*$B$18/SUM('1.CÁL'!$D$14:$V$14)</f>
        <v>#DIV/0!</v>
      </c>
      <c r="E17" s="203" t="str">
        <f>'1.CÁL'!E14*$B$18/SUM('1.CÁL'!$D$14:$V$14)</f>
        <v>#DIV/0!</v>
      </c>
      <c r="F17" s="203" t="str">
        <f>'1.CÁL'!F14*$B$18/SUM('1.CÁL'!$D$14:$V$14)</f>
        <v>#DIV/0!</v>
      </c>
      <c r="G17" s="203" t="str">
        <f>'1.CÁL'!G14*$B$18/SUM('1.CÁL'!$D$14:$V$14)</f>
        <v>#DIV/0!</v>
      </c>
      <c r="H17" s="203" t="str">
        <f>'1.CÁL'!H14*$B$18/SUM('1.CÁL'!$D$14:$V$14)</f>
        <v>#DIV/0!</v>
      </c>
      <c r="I17" s="203" t="str">
        <f>'1.CÁL'!I14*$B$18/SUM('1.CÁL'!$D$14:$V$14)</f>
        <v>#DIV/0!</v>
      </c>
      <c r="J17" s="203" t="str">
        <f>'1.CÁL'!J14*$B$18/SUM('1.CÁL'!$D$14:$V$14)</f>
        <v>#DIV/0!</v>
      </c>
      <c r="K17" s="203" t="str">
        <f>'1.CÁL'!K14*$B$18/SUM('1.CÁL'!$D$14:$V$14)</f>
        <v>#DIV/0!</v>
      </c>
      <c r="L17" s="203" t="str">
        <f>'1.CÁL'!L14*$B$18/SUM('1.CÁL'!$D$14:$V$14)</f>
        <v>#DIV/0!</v>
      </c>
      <c r="M17" s="203" t="str">
        <f>'1.CÁL'!M14*$B$18/SUM('1.CÁL'!$D$14:$V$14)</f>
        <v>#DIV/0!</v>
      </c>
      <c r="N17" s="203" t="str">
        <f>'1.CÁL'!N14*$B$18/SUM('1.CÁL'!$D$14:$V$14)</f>
        <v>#DIV/0!</v>
      </c>
      <c r="O17" s="203" t="str">
        <f>'1.CÁL'!O14*$B$18/SUM('1.CÁL'!$D$14:$V$14)</f>
        <v>#DIV/0!</v>
      </c>
      <c r="P17" s="203" t="str">
        <f>'1.CÁL'!P14*$B$18/SUM('1.CÁL'!$D$14:$V$14)</f>
        <v>#DIV/0!</v>
      </c>
      <c r="Q17" s="203" t="str">
        <f>'1.CÁL'!Q14*$B$18/SUM('1.CÁL'!$D$14:$V$14)</f>
        <v>#DIV/0!</v>
      </c>
      <c r="R17" s="203" t="str">
        <f>('1.CÁL'!R14+'1.CÁL'!U14+'1.CÁL'!V14)*$B$18/SUM('1.CÁL'!$D$14:$V$14)</f>
        <v>#DIV/0!</v>
      </c>
      <c r="S17" s="203" t="str">
        <f>'1.CÁL'!S14*$B$18/SUM('1.CÁL'!$D$14:$V$14)</f>
        <v>#DIV/0!</v>
      </c>
      <c r="T17" s="203" t="str">
        <f>'1.CÁL'!T14*$B$18/SUM('1.CÁL'!$D$14:$V$14)</f>
        <v>#DIV/0!</v>
      </c>
    </row>
    <row r="18">
      <c r="B18" s="238" t="str">
        <f>D16+E16+F16+G16+I16+J16+K16+L16+M16+P16+Q16+R16+N16+O16+S16+T16</f>
        <v>#DIV/0!</v>
      </c>
    </row>
    <row r="19">
      <c r="D19" s="238" t="s">
        <v>150</v>
      </c>
      <c r="E19" s="238" t="s">
        <v>151</v>
      </c>
      <c r="F19" s="238" t="s">
        <v>152</v>
      </c>
      <c r="G19" s="238" t="s">
        <v>153</v>
      </c>
      <c r="H19" s="238" t="s">
        <v>154</v>
      </c>
      <c r="I19" s="238" t="s">
        <v>155</v>
      </c>
      <c r="J19" s="238" t="s">
        <v>156</v>
      </c>
      <c r="K19" s="238" t="s">
        <v>157</v>
      </c>
      <c r="L19" s="238" t="s">
        <v>158</v>
      </c>
      <c r="P19" s="238" t="s">
        <v>159</v>
      </c>
      <c r="Q19" s="238" t="s">
        <v>160</v>
      </c>
      <c r="R19" s="238" t="s">
        <v>161</v>
      </c>
      <c r="S19" s="238" t="s">
        <v>162</v>
      </c>
    </row>
    <row r="20">
      <c r="A20" s="261"/>
      <c r="B20" s="261"/>
      <c r="C20" s="262" t="s">
        <v>36</v>
      </c>
      <c r="D20" s="263" t="s">
        <v>37</v>
      </c>
      <c r="E20" s="262" t="s">
        <v>38</v>
      </c>
      <c r="F20" s="262" t="s">
        <v>39</v>
      </c>
      <c r="G20" s="262" t="s">
        <v>163</v>
      </c>
      <c r="H20" s="262" t="s">
        <v>41</v>
      </c>
      <c r="I20" s="262" t="s">
        <v>164</v>
      </c>
      <c r="J20" s="262" t="s">
        <v>165</v>
      </c>
      <c r="K20" s="262" t="s">
        <v>44</v>
      </c>
      <c r="L20" s="264" t="s">
        <v>45</v>
      </c>
      <c r="M20" s="264" t="s">
        <v>46</v>
      </c>
      <c r="N20" s="75" t="s">
        <v>47</v>
      </c>
      <c r="O20" s="75" t="s">
        <v>48</v>
      </c>
      <c r="P20" s="265" t="s">
        <v>49</v>
      </c>
      <c r="Q20" s="262" t="s">
        <v>166</v>
      </c>
      <c r="R20" s="262" t="s">
        <v>51</v>
      </c>
      <c r="S20" s="264" t="s">
        <v>52</v>
      </c>
      <c r="T20" s="252" t="s">
        <v>53</v>
      </c>
      <c r="U20" s="253" t="s">
        <v>56</v>
      </c>
      <c r="V20" s="253" t="s">
        <v>148</v>
      </c>
      <c r="W20" s="254" t="s">
        <v>167</v>
      </c>
    </row>
    <row r="21">
      <c r="A21" s="255"/>
      <c r="B21" s="255"/>
      <c r="C21" s="256">
        <f>+'2.FAC'!$E$2</f>
        <v>0</v>
      </c>
      <c r="D21" s="266">
        <f>$D$30*'2.FAC'!$E$4/D46</f>
        <v>0</v>
      </c>
      <c r="E21" s="256">
        <f>$D$31*'2.FAC'!$E$4/D46</f>
        <v>0</v>
      </c>
      <c r="F21" s="256">
        <f>+('2.FAC'!$E$2+D21+E21)*$D$36</f>
        <v>0</v>
      </c>
      <c r="G21" s="256">
        <f>+(D21+E21+F21+H21+C21+J21)*$D$37</f>
        <v>0</v>
      </c>
      <c r="H21" s="258">
        <f>+'2.FAC'!$E$5</f>
        <v>0</v>
      </c>
      <c r="I21" s="256">
        <f>+C21*3.5%</f>
        <v>0</v>
      </c>
      <c r="J21" s="258">
        <f>$D$32*'2.FAC'!$E$4/D46</f>
        <v>0</v>
      </c>
      <c r="K21" s="258">
        <f>IF(($D$33*'2.FAC'!$E$4/D46+E10)&lt;10,10,$D$33*'2.FAC'!$E$4/D46+E10)</f>
        <v>10</v>
      </c>
      <c r="L21" s="258">
        <f>+('2.FAC'!$E$2+D21+F21+S21+H21+J21+E21+Q21)*($D$38)</f>
        <v>1.8</v>
      </c>
      <c r="M21" s="258">
        <f>+('2.FAC'!$E$2+D21+E21+F21+S21+H21+J21+Q21)*($D$39)</f>
        <v>0.03</v>
      </c>
      <c r="N21" s="257" t="str">
        <f>'1.CÁL'!N14</f>
        <v>#DIV/0!</v>
      </c>
      <c r="O21" s="258">
        <f>'1.CÁL'!O14</f>
        <v>0</v>
      </c>
      <c r="P21" s="258">
        <f>+('2.FAC'!$E$2+D21+E21+F21+L21+M21+S21+J21+R21+Q21+H21)*$D$41</f>
        <v>1.1745</v>
      </c>
      <c r="Q21" s="256">
        <f>$D$40*('2.FAC'!$E$2+D21+E21+F21)+1</f>
        <v>1</v>
      </c>
      <c r="R21" s="256">
        <f>$D$35*'2.FAC'!$E$4/D46+2%*('2.FAC'!$E$2)</f>
        <v>0</v>
      </c>
      <c r="S21" s="256">
        <f>IF($D$34*'2.FAC'!$E$4/D46&lt;5,5,$D$34*'2.FAC'!$E$4/D46)</f>
        <v>5</v>
      </c>
      <c r="T21" s="256" t="str">
        <f>U21*0.6%</f>
        <v>#DIV/0!</v>
      </c>
      <c r="U21" s="256" t="str">
        <f>SUM(C21:S21)</f>
        <v>#DIV/0!</v>
      </c>
      <c r="V21" s="256" t="str">
        <f>+W21/C21</f>
        <v>#DIV/0!</v>
      </c>
      <c r="W21" s="238" t="str">
        <f>U21+T21</f>
        <v>#DIV/0!</v>
      </c>
    </row>
    <row r="22">
      <c r="A22" s="259" t="s">
        <v>168</v>
      </c>
      <c r="B22" s="260">
        <f>E2+E5</f>
        <v>0</v>
      </c>
      <c r="D22" s="203" t="str">
        <f>'1.CÁL'!D14*$B$23/SUM('1.CÁL'!$D$14:$V$14)</f>
        <v>#DIV/0!</v>
      </c>
      <c r="E22" s="203" t="str">
        <f>'1.CÁL'!E14*$B$23/SUM('1.CÁL'!$D$14:$V$14)</f>
        <v>#DIV/0!</v>
      </c>
      <c r="F22" s="203" t="str">
        <f>'1.CÁL'!F14*$B$23/SUM('1.CÁL'!$D$14:$V$14)</f>
        <v>#DIV/0!</v>
      </c>
      <c r="G22" s="203" t="str">
        <f>'1.CÁL'!G14*$B$23/SUM('1.CÁL'!$D$14:$V$14)</f>
        <v>#DIV/0!</v>
      </c>
      <c r="H22" s="203" t="str">
        <f>'1.CÁL'!H14*$B$23/SUM('1.CÁL'!$D$14:$V$14)</f>
        <v>#DIV/0!</v>
      </c>
      <c r="I22" s="203" t="str">
        <f>'1.CÁL'!I14*$B$23/SUM('1.CÁL'!$D$14:$V$14)</f>
        <v>#DIV/0!</v>
      </c>
      <c r="J22" s="203" t="str">
        <f>'1.CÁL'!J14*$B$23/SUM('1.CÁL'!$D$14:$V$14)</f>
        <v>#DIV/0!</v>
      </c>
      <c r="K22" s="203" t="str">
        <f>'1.CÁL'!K14*$B$23/SUM('1.CÁL'!$D$14:$V$14)</f>
        <v>#DIV/0!</v>
      </c>
      <c r="L22" s="203" t="str">
        <f>'1.CÁL'!L14*$B$23/SUM('1.CÁL'!$D$14:$V$14)</f>
        <v>#DIV/0!</v>
      </c>
      <c r="M22" s="203" t="str">
        <f>'1.CÁL'!M14*$B$23/SUM('1.CÁL'!$D$14:$V$14)</f>
        <v>#DIV/0!</v>
      </c>
      <c r="N22" s="203" t="str">
        <f>'1.CÁL'!N14*$B$23/SUM('1.CÁL'!$D$14:$V$14)</f>
        <v>#DIV/0!</v>
      </c>
      <c r="O22" s="203" t="str">
        <f>'1.CÁL'!O14*$B$23/SUM('1.CÁL'!$D$14:$V$14)</f>
        <v>#DIV/0!</v>
      </c>
      <c r="P22" s="203" t="str">
        <f>'1.CÁL'!P14*$B$23/SUM('1.CÁL'!$D$14:$V$14)</f>
        <v>#DIV/0!</v>
      </c>
      <c r="Q22" s="203" t="str">
        <f>'1.CÁL'!Q14*$B$23/SUM('1.CÁL'!$D$14:$V$14)</f>
        <v>#DIV/0!</v>
      </c>
      <c r="R22" s="203" t="str">
        <f>('1.CÁL'!R14+'1.CÁL'!U14+'1.CÁL'!V14)*$B$23/SUM('1.CÁL'!$D$14:$V$14)</f>
        <v>#DIV/0!</v>
      </c>
      <c r="S22" s="203" t="str">
        <f>'1.CÁL'!S14*$B$23/SUM('1.CÁL'!$D$14:$V$14)</f>
        <v>#DIV/0!</v>
      </c>
      <c r="T22" s="203" t="str">
        <f>'1.CÁL'!T14*$B$23/SUM('1.CÁL'!$D$14:$V$14)</f>
        <v>#DIV/0!</v>
      </c>
    </row>
    <row r="23">
      <c r="B23" s="238" t="str">
        <f>D21+E21+F21+G21+I21+J21+K21+L21+M21+N21+O21+P21+Q21+R21+S21+T21</f>
        <v>#DIV/0!</v>
      </c>
    </row>
    <row r="24">
      <c r="D24" s="238" t="s">
        <v>150</v>
      </c>
      <c r="E24" s="238" t="s">
        <v>151</v>
      </c>
      <c r="F24" s="238" t="s">
        <v>152</v>
      </c>
      <c r="G24" s="238" t="s">
        <v>153</v>
      </c>
      <c r="H24" s="238" t="s">
        <v>154</v>
      </c>
      <c r="I24" s="238" t="s">
        <v>155</v>
      </c>
      <c r="J24" s="238" t="s">
        <v>156</v>
      </c>
      <c r="K24" s="238" t="s">
        <v>157</v>
      </c>
      <c r="L24" s="238" t="s">
        <v>158</v>
      </c>
      <c r="P24" s="238" t="s">
        <v>159</v>
      </c>
      <c r="Q24" s="238" t="s">
        <v>160</v>
      </c>
      <c r="R24" s="238" t="s">
        <v>161</v>
      </c>
      <c r="S24" s="238" t="s">
        <v>162</v>
      </c>
    </row>
    <row r="25">
      <c r="A25" s="261"/>
      <c r="B25" s="261"/>
      <c r="C25" s="262" t="s">
        <v>36</v>
      </c>
      <c r="D25" s="263" t="s">
        <v>37</v>
      </c>
      <c r="E25" s="262" t="s">
        <v>38</v>
      </c>
      <c r="F25" s="262" t="s">
        <v>39</v>
      </c>
      <c r="G25" s="262" t="s">
        <v>163</v>
      </c>
      <c r="H25" s="262" t="s">
        <v>41</v>
      </c>
      <c r="I25" s="262" t="s">
        <v>164</v>
      </c>
      <c r="J25" s="262" t="s">
        <v>165</v>
      </c>
      <c r="K25" s="262" t="s">
        <v>44</v>
      </c>
      <c r="L25" s="264" t="s">
        <v>45</v>
      </c>
      <c r="M25" s="264" t="s">
        <v>46</v>
      </c>
      <c r="N25" s="75" t="s">
        <v>47</v>
      </c>
      <c r="O25" s="75" t="s">
        <v>48</v>
      </c>
      <c r="P25" s="265" t="s">
        <v>49</v>
      </c>
      <c r="Q25" s="262" t="s">
        <v>166</v>
      </c>
      <c r="R25" s="262" t="s">
        <v>51</v>
      </c>
      <c r="S25" s="264" t="s">
        <v>52</v>
      </c>
      <c r="T25" s="252" t="s">
        <v>53</v>
      </c>
      <c r="U25" s="253" t="s">
        <v>56</v>
      </c>
      <c r="V25" s="253" t="s">
        <v>148</v>
      </c>
      <c r="W25" s="254" t="s">
        <v>167</v>
      </c>
    </row>
    <row r="26">
      <c r="A26" s="255"/>
      <c r="B26" s="255"/>
      <c r="C26" s="256">
        <f>+'2.FAC'!$E$2</f>
        <v>0</v>
      </c>
      <c r="D26" s="266">
        <f>$D$30*'2.FAC'!$E$4/D47</f>
        <v>0</v>
      </c>
      <c r="E26" s="256">
        <f>$D$31*'2.FAC'!$E$4/D47</f>
        <v>0</v>
      </c>
      <c r="F26" s="256">
        <f>+('2.FAC'!$E$2+D26+E26)*$D$36</f>
        <v>0</v>
      </c>
      <c r="G26" s="256">
        <f>+(D26+E26+F26+H26+C26+J26)*$D$37</f>
        <v>0</v>
      </c>
      <c r="H26" s="258">
        <f>+'2.FAC'!$E$5</f>
        <v>0</v>
      </c>
      <c r="I26" s="256">
        <f>+C26*3.5%</f>
        <v>0</v>
      </c>
      <c r="J26" s="258">
        <f>$D$32*'2.FAC'!$E$4/D47</f>
        <v>0</v>
      </c>
      <c r="K26" s="258">
        <f>IF(($D$33*'2.FAC'!$E$4/D47+E10)&lt;10,10,$D$33*'2.FAC'!$E$4/D47+E10)</f>
        <v>10</v>
      </c>
      <c r="L26" s="258">
        <f>+('2.FAC'!$E$2+D26+F26+S26+H26+J26+E26+Q26)*($D$38)</f>
        <v>1.8</v>
      </c>
      <c r="M26" s="258">
        <f>+('2.FAC'!$E$2+E26+D26+F26+S26+H26+J26+Q26)*($D$39)</f>
        <v>0.03</v>
      </c>
      <c r="N26" s="258" t="str">
        <f>'1.CÁL'!N14</f>
        <v>#DIV/0!</v>
      </c>
      <c r="O26" s="258">
        <f>'1.CÁL'!O14</f>
        <v>0</v>
      </c>
      <c r="P26" s="258">
        <f>+('2.FAC'!$E$2+D26+E26+F26+L26+M26+S26+J26+R26+Q26+H26)*$D$41</f>
        <v>1.1745</v>
      </c>
      <c r="Q26" s="256">
        <f>$D$40*('2.FAC'!$E$2+D26+E26+F26)+1</f>
        <v>1</v>
      </c>
      <c r="R26" s="256">
        <f>$D$35*'2.FAC'!$E$4/D47+2%*('2.FAC'!$E$2)</f>
        <v>0</v>
      </c>
      <c r="S26" s="256">
        <f>IF($D$34*'2.FAC'!$E$4/D47&lt;5,5,$D$34*'2.FAC'!$E$4/D47)</f>
        <v>5</v>
      </c>
      <c r="T26" s="256" t="str">
        <f>U26*0.6%</f>
        <v>#DIV/0!</v>
      </c>
      <c r="U26" s="256" t="str">
        <f>SUM(C26:S26)</f>
        <v>#DIV/0!</v>
      </c>
      <c r="V26" s="256" t="str">
        <f>+W26/C26</f>
        <v>#DIV/0!</v>
      </c>
      <c r="W26" s="238" t="str">
        <f>U26+T26</f>
        <v>#DIV/0!</v>
      </c>
    </row>
    <row r="27">
      <c r="A27" s="259" t="s">
        <v>168</v>
      </c>
      <c r="B27" s="260">
        <f>E2+E5</f>
        <v>0</v>
      </c>
      <c r="D27" s="203" t="str">
        <f>'1.CÁL'!D14*$B$28/SUM('1.CÁL'!$D$14:$V$14)</f>
        <v>#DIV/0!</v>
      </c>
      <c r="E27" s="203" t="str">
        <f>'1.CÁL'!E14*$B$28/SUM('1.CÁL'!$D$14:$V$14)</f>
        <v>#DIV/0!</v>
      </c>
      <c r="F27" s="203" t="str">
        <f>'1.CÁL'!F14*$B$28/SUM('1.CÁL'!$D$14:$V$14)</f>
        <v>#DIV/0!</v>
      </c>
      <c r="G27" s="203" t="str">
        <f>'1.CÁL'!G14*$B$28/SUM('1.CÁL'!$D$14:$V$14)</f>
        <v>#DIV/0!</v>
      </c>
      <c r="H27" s="203" t="str">
        <f>'1.CÁL'!H14*$B$28/SUM('1.CÁL'!$D$14:$V$14)</f>
        <v>#DIV/0!</v>
      </c>
      <c r="I27" s="203" t="str">
        <f>'1.CÁL'!I14*$B$28/SUM('1.CÁL'!$D$14:$V$14)</f>
        <v>#DIV/0!</v>
      </c>
      <c r="J27" s="203" t="str">
        <f>'1.CÁL'!J14*$B$28/SUM('1.CÁL'!$D$14:$V$14)</f>
        <v>#DIV/0!</v>
      </c>
      <c r="K27" s="203" t="str">
        <f>'1.CÁL'!K14*$B$28/SUM('1.CÁL'!$D$14:$V$14)</f>
        <v>#DIV/0!</v>
      </c>
      <c r="L27" s="203" t="str">
        <f>'1.CÁL'!L14*$B$28/SUM('1.CÁL'!$D$14:$V$14)</f>
        <v>#DIV/0!</v>
      </c>
      <c r="M27" s="203" t="str">
        <f>'1.CÁL'!M14*$B$28/SUM('1.CÁL'!$D$14:$V$14)</f>
        <v>#DIV/0!</v>
      </c>
      <c r="N27" s="203" t="str">
        <f>'1.CÁL'!N14*$B$28/SUM('1.CÁL'!$D$14:$V$14)</f>
        <v>#DIV/0!</v>
      </c>
      <c r="O27" s="203" t="str">
        <f>'1.CÁL'!O14*$B$28/SUM('1.CÁL'!$D$14:$V$14)</f>
        <v>#DIV/0!</v>
      </c>
      <c r="P27" s="203" t="str">
        <f>'1.CÁL'!P14*$B$28/SUM('1.CÁL'!$D$14:$V$14)</f>
        <v>#DIV/0!</v>
      </c>
      <c r="Q27" s="203" t="str">
        <f>'1.CÁL'!Q14*$B$28/SUM('1.CÁL'!$D$14:$V$14)</f>
        <v>#DIV/0!</v>
      </c>
      <c r="R27" s="203" t="str">
        <f>('1.CÁL'!R14+'1.CÁL'!U14+'1.CÁL'!V14)*$B$28/SUM('1.CÁL'!$D$14:$V$14)</f>
        <v>#DIV/0!</v>
      </c>
      <c r="S27" s="203" t="str">
        <f>'1.CÁL'!S14*$B$28/SUM('1.CÁL'!$D$14:$V$14)</f>
        <v>#DIV/0!</v>
      </c>
      <c r="T27" s="203" t="str">
        <f>'1.CÁL'!T14*$B$28/SUM('1.CÁL'!$D$14:$V$14)</f>
        <v>#DIV/0!</v>
      </c>
    </row>
    <row r="28">
      <c r="B28" s="238" t="str">
        <f>D26+E26+F26+G26+I26+J26+K26+L26+M26+N26+O26+P26+Q26+R26+S26+T26</f>
        <v>#DIV/0!</v>
      </c>
      <c r="H28" s="241"/>
      <c r="J28" s="241"/>
      <c r="L28" s="241"/>
      <c r="M28" s="241"/>
      <c r="N28" s="241"/>
      <c r="O28" s="241"/>
      <c r="P28" s="241"/>
      <c r="Q28" s="241"/>
      <c r="R28" s="241"/>
    </row>
    <row r="29">
      <c r="A29" s="267"/>
      <c r="B29" s="267"/>
      <c r="C29" s="267"/>
      <c r="D29" s="267"/>
      <c r="E29" s="267"/>
      <c r="H29" s="268"/>
      <c r="I29" s="229"/>
      <c r="J29" s="268"/>
      <c r="L29" s="268"/>
      <c r="M29" s="268"/>
      <c r="N29" s="268"/>
      <c r="O29" s="268"/>
      <c r="P29" s="268"/>
      <c r="Q29" s="268"/>
      <c r="R29" s="268"/>
    </row>
    <row r="30">
      <c r="A30" s="267"/>
      <c r="B30" s="267"/>
      <c r="C30" s="233" t="s">
        <v>169</v>
      </c>
      <c r="D30" s="233">
        <v>1500.0</v>
      </c>
      <c r="E30" s="233" t="s">
        <v>147</v>
      </c>
      <c r="H30" s="268"/>
      <c r="I30" s="229"/>
      <c r="J30" s="268"/>
      <c r="L30" s="268"/>
      <c r="M30" s="268"/>
      <c r="N30" s="268"/>
      <c r="O30" s="268"/>
      <c r="P30" s="268"/>
      <c r="Q30" s="268"/>
      <c r="R30" s="268"/>
    </row>
    <row r="31">
      <c r="A31" s="267"/>
      <c r="B31" s="267"/>
      <c r="C31" s="233" t="s">
        <v>38</v>
      </c>
      <c r="D31" s="269">
        <v>2520.0</v>
      </c>
      <c r="E31" s="233" t="s">
        <v>147</v>
      </c>
      <c r="H31" s="268"/>
      <c r="I31" s="270"/>
      <c r="J31" s="268"/>
      <c r="L31" s="268"/>
      <c r="M31" s="268"/>
      <c r="N31" s="268"/>
      <c r="O31" s="268"/>
      <c r="P31" s="268"/>
      <c r="Q31" s="268"/>
      <c r="R31" s="268"/>
    </row>
    <row r="32">
      <c r="A32" s="267"/>
      <c r="B32" s="267"/>
      <c r="C32" s="233" t="s">
        <v>165</v>
      </c>
      <c r="D32" s="233">
        <v>112.0</v>
      </c>
      <c r="E32" s="233" t="s">
        <v>147</v>
      </c>
      <c r="H32" s="268"/>
      <c r="I32" s="270"/>
      <c r="J32" s="268"/>
      <c r="L32" s="268"/>
      <c r="M32" s="268"/>
      <c r="N32" s="268"/>
      <c r="O32" s="268"/>
      <c r="P32" s="268"/>
      <c r="Q32" s="268"/>
      <c r="R32" s="268"/>
    </row>
    <row r="33">
      <c r="A33" s="267"/>
      <c r="B33" s="267"/>
      <c r="C33" s="233" t="s">
        <v>170</v>
      </c>
      <c r="D33" s="271">
        <v>1960.0</v>
      </c>
      <c r="E33" s="233" t="s">
        <v>147</v>
      </c>
      <c r="H33" s="268"/>
      <c r="I33" s="270"/>
      <c r="J33" s="268"/>
      <c r="L33" s="268"/>
      <c r="M33" s="268"/>
      <c r="N33" s="268"/>
      <c r="O33" s="268"/>
      <c r="P33" s="268"/>
      <c r="Q33" s="268"/>
      <c r="R33" s="268"/>
    </row>
    <row r="34" ht="15.75" customHeight="1">
      <c r="A34" s="267"/>
      <c r="B34" s="267"/>
      <c r="C34" s="233" t="s">
        <v>73</v>
      </c>
      <c r="D34" s="272">
        <v>325.0</v>
      </c>
      <c r="E34" s="233" t="s">
        <v>147</v>
      </c>
      <c r="H34" s="268"/>
      <c r="I34" s="229"/>
      <c r="J34" s="268"/>
      <c r="L34" s="268"/>
      <c r="M34" s="268"/>
      <c r="N34" s="268"/>
      <c r="O34" s="268"/>
      <c r="P34" s="268"/>
      <c r="Q34" s="268"/>
      <c r="R34" s="268"/>
    </row>
    <row r="35" ht="15.75" customHeight="1">
      <c r="A35" s="267"/>
      <c r="B35" s="267"/>
      <c r="C35" s="233" t="s">
        <v>171</v>
      </c>
      <c r="D35" s="233">
        <v>1400.0</v>
      </c>
      <c r="E35" s="233" t="s">
        <v>147</v>
      </c>
      <c r="H35" s="268"/>
      <c r="I35" s="229"/>
      <c r="J35" s="268"/>
      <c r="L35" s="268"/>
      <c r="M35" s="268"/>
      <c r="N35" s="268"/>
      <c r="O35" s="268"/>
      <c r="P35" s="268"/>
      <c r="Q35" s="268"/>
      <c r="R35" s="268"/>
    </row>
    <row r="36" ht="15.75" customHeight="1">
      <c r="A36" s="267"/>
      <c r="B36" s="267"/>
      <c r="C36" s="233" t="s">
        <v>39</v>
      </c>
      <c r="D36" s="273">
        <v>0.01</v>
      </c>
      <c r="E36" s="233" t="s">
        <v>78</v>
      </c>
      <c r="H36" s="268"/>
      <c r="I36" s="229"/>
      <c r="J36" s="268"/>
      <c r="L36" s="268"/>
      <c r="M36" s="268"/>
      <c r="N36" s="268"/>
      <c r="O36" s="268"/>
      <c r="P36" s="268"/>
      <c r="Q36" s="268"/>
      <c r="R36" s="268"/>
    </row>
    <row r="37" ht="15.75" customHeight="1">
      <c r="A37" s="267"/>
      <c r="B37" s="267"/>
      <c r="C37" s="233" t="s">
        <v>153</v>
      </c>
      <c r="D37" s="274">
        <v>0.05</v>
      </c>
      <c r="E37" s="233" t="s">
        <v>78</v>
      </c>
      <c r="H37" s="268"/>
      <c r="I37" s="229"/>
      <c r="J37" s="268"/>
      <c r="L37" s="268"/>
      <c r="M37" s="268"/>
      <c r="N37" s="268"/>
      <c r="O37" s="268"/>
      <c r="P37" s="268"/>
      <c r="Q37" s="268"/>
      <c r="R37" s="268"/>
    </row>
    <row r="38" ht="15.75" customHeight="1">
      <c r="A38" s="267"/>
      <c r="B38" s="267"/>
      <c r="C38" s="233" t="s">
        <v>45</v>
      </c>
      <c r="D38" s="275">
        <v>0.3</v>
      </c>
      <c r="E38" s="233" t="s">
        <v>78</v>
      </c>
      <c r="H38" s="268"/>
      <c r="I38" s="229"/>
      <c r="J38" s="268"/>
      <c r="L38" s="268"/>
      <c r="M38" s="268"/>
      <c r="N38" s="268"/>
      <c r="O38" s="268"/>
      <c r="P38" s="268"/>
      <c r="Q38" s="268"/>
      <c r="R38" s="268"/>
    </row>
    <row r="39" ht="15.75" customHeight="1">
      <c r="A39" s="267"/>
      <c r="B39" s="267"/>
      <c r="C39" s="233" t="s">
        <v>172</v>
      </c>
      <c r="D39" s="275">
        <v>0.005</v>
      </c>
      <c r="E39" s="233" t="s">
        <v>78</v>
      </c>
      <c r="H39" s="268"/>
      <c r="I39" s="229"/>
      <c r="J39" s="276" t="s">
        <v>173</v>
      </c>
      <c r="L39" s="268"/>
      <c r="M39" s="268"/>
      <c r="N39" s="268"/>
      <c r="O39" s="268"/>
      <c r="P39" s="268"/>
      <c r="Q39" s="268"/>
      <c r="R39" s="268"/>
    </row>
    <row r="40" ht="15.75" customHeight="1">
      <c r="A40" s="267"/>
      <c r="B40" s="267"/>
      <c r="C40" s="233" t="s">
        <v>149</v>
      </c>
      <c r="D40" s="274">
        <v>0.06</v>
      </c>
      <c r="E40" s="233" t="s">
        <v>78</v>
      </c>
      <c r="H40" s="268"/>
      <c r="I40" s="229"/>
      <c r="J40" s="268"/>
      <c r="L40" s="268"/>
      <c r="M40" s="268"/>
      <c r="N40" s="268"/>
      <c r="O40" s="268"/>
      <c r="P40" s="268"/>
      <c r="Q40" s="268"/>
      <c r="R40" s="268"/>
    </row>
    <row r="41" ht="15.75" customHeight="1">
      <c r="A41" s="267"/>
      <c r="B41" s="267"/>
      <c r="C41" s="233" t="s">
        <v>49</v>
      </c>
      <c r="D41" s="274">
        <v>0.15</v>
      </c>
      <c r="E41" s="233" t="s">
        <v>78</v>
      </c>
      <c r="H41" s="268"/>
      <c r="I41" s="229"/>
      <c r="J41" s="268"/>
      <c r="L41" s="268"/>
      <c r="M41" s="268"/>
      <c r="N41" s="268"/>
      <c r="O41" s="268"/>
      <c r="P41" s="268"/>
      <c r="Q41" s="268"/>
      <c r="R41" s="268"/>
    </row>
    <row r="42" ht="15.75" customHeight="1">
      <c r="A42" s="267"/>
      <c r="B42" s="267"/>
      <c r="C42" s="233" t="s">
        <v>174</v>
      </c>
      <c r="D42" s="233">
        <v>100.0</v>
      </c>
      <c r="E42" s="233" t="s">
        <v>175</v>
      </c>
      <c r="H42" s="268"/>
      <c r="I42" s="229"/>
      <c r="J42" s="268"/>
      <c r="L42" s="268"/>
      <c r="M42" s="268"/>
      <c r="N42" s="268"/>
      <c r="O42" s="268"/>
      <c r="P42" s="268"/>
      <c r="Q42" s="268"/>
      <c r="R42" s="268"/>
    </row>
    <row r="43" ht="15.75" customHeight="1">
      <c r="H43" s="268"/>
      <c r="I43" s="229"/>
      <c r="J43" s="268"/>
      <c r="L43" s="268"/>
      <c r="M43" s="268"/>
      <c r="N43" s="268"/>
      <c r="O43" s="268"/>
      <c r="P43" s="268"/>
      <c r="Q43" s="268"/>
      <c r="R43" s="268"/>
    </row>
    <row r="44" ht="15.75" customHeight="1">
      <c r="H44" s="268"/>
      <c r="I44" s="270"/>
      <c r="J44" s="268"/>
      <c r="L44" s="268"/>
      <c r="M44" s="268"/>
      <c r="N44" s="268"/>
      <c r="O44" s="268"/>
      <c r="P44" s="268"/>
      <c r="Q44" s="268"/>
      <c r="R44" s="268"/>
    </row>
    <row r="45" ht="15.75" customHeight="1">
      <c r="A45" s="267"/>
      <c r="B45" s="267"/>
      <c r="C45" s="233" t="s">
        <v>176</v>
      </c>
      <c r="D45" s="233">
        <v>28.0</v>
      </c>
      <c r="E45" s="206">
        <f t="shared" ref="E45:E47" si="1">$D$31/D45</f>
        <v>90</v>
      </c>
      <c r="G45" s="277"/>
      <c r="H45" s="276"/>
      <c r="I45" s="229"/>
      <c r="J45" s="268"/>
      <c r="L45" s="268"/>
      <c r="M45" s="268"/>
      <c r="N45" s="268"/>
      <c r="O45" s="268"/>
      <c r="P45" s="268"/>
      <c r="Q45" s="268"/>
      <c r="R45" s="268"/>
    </row>
    <row r="46" ht="15.75" customHeight="1">
      <c r="A46" s="267"/>
      <c r="B46" s="267"/>
      <c r="C46" s="233" t="s">
        <v>176</v>
      </c>
      <c r="D46" s="272">
        <v>32.0</v>
      </c>
      <c r="E46" s="206">
        <f t="shared" si="1"/>
        <v>78.75</v>
      </c>
      <c r="G46" s="277"/>
      <c r="H46" s="268"/>
      <c r="I46" s="229"/>
      <c r="J46" s="268"/>
      <c r="L46" s="268"/>
      <c r="M46" s="268"/>
      <c r="N46" s="268"/>
      <c r="O46" s="268"/>
      <c r="P46" s="268"/>
      <c r="Q46" s="268"/>
      <c r="R46" s="268"/>
    </row>
    <row r="47" ht="15.75" customHeight="1">
      <c r="A47" s="267"/>
      <c r="B47" s="267"/>
      <c r="C47" s="233" t="s">
        <v>176</v>
      </c>
      <c r="D47" s="272">
        <v>36.0</v>
      </c>
      <c r="E47" s="206">
        <f t="shared" si="1"/>
        <v>70</v>
      </c>
      <c r="G47" s="277"/>
      <c r="H47" s="268"/>
      <c r="I47" s="229"/>
      <c r="J47" s="268"/>
      <c r="L47" s="268"/>
      <c r="M47" s="268"/>
      <c r="N47" s="268"/>
      <c r="O47" s="268"/>
      <c r="P47" s="268"/>
      <c r="Q47" s="268"/>
      <c r="R47" s="268"/>
    </row>
    <row r="48" ht="15.75" customHeight="1">
      <c r="A48" s="267"/>
      <c r="B48" s="267"/>
      <c r="C48" s="233" t="s">
        <v>177</v>
      </c>
      <c r="D48" s="258">
        <v>3000.0</v>
      </c>
      <c r="G48" s="277"/>
      <c r="H48" s="268"/>
      <c r="I48" s="229"/>
      <c r="J48" s="268"/>
      <c r="L48" s="268"/>
      <c r="M48" s="268"/>
      <c r="N48" s="268"/>
      <c r="O48" s="268"/>
      <c r="P48" s="268"/>
      <c r="Q48" s="268"/>
      <c r="R48" s="268"/>
    </row>
    <row r="49" ht="15.75" customHeight="1">
      <c r="H49" s="268"/>
      <c r="I49" s="229"/>
      <c r="J49" s="268"/>
      <c r="L49" s="268"/>
      <c r="M49" s="268"/>
      <c r="N49" s="268"/>
      <c r="O49" s="268"/>
      <c r="P49" s="268"/>
      <c r="Q49" s="268"/>
      <c r="R49" s="268"/>
    </row>
    <row r="50" ht="15.75" customHeight="1"/>
    <row r="51" ht="15.75" customHeight="1"/>
  </sheetData>
  <conditionalFormatting sqref="E2">
    <cfRule type="cellIs" dxfId="19" priority="1" operator="greaterThanOrEqual">
      <formula>3000</formula>
    </cfRule>
  </conditionalFormatting>
  <conditionalFormatting sqref="E4">
    <cfRule type="cellIs" dxfId="19" priority="2" operator="greaterThanOrEqual">
      <formula>3</formula>
    </cfRule>
  </conditionalFormatting>
  <conditionalFormatting sqref="H29:H49 J36:J49 L36:R49">
    <cfRule type="cellIs" dxfId="24" priority="3" operator="greaterThan">
      <formula>3</formula>
    </cfRule>
  </conditionalFormatting>
  <conditionalFormatting sqref="J29:J49 L29:R49">
    <cfRule type="cellIs" dxfId="24" priority="4" operator="greaterThan">
      <formula>3</formula>
    </cfRule>
  </conditionalFormatting>
  <conditionalFormatting sqref="H29:H49 J29:J49 L29:R49">
    <cfRule type="cellIs" dxfId="25" priority="5" operator="greaterThan">
      <formula>2</formula>
    </cfRule>
  </conditionalFormatting>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3" width="11.57"/>
    <col customWidth="1" min="4" max="4" width="53.43"/>
    <col customWidth="1" min="5" max="5" width="16.57"/>
    <col customWidth="1" min="6" max="6" width="18.14"/>
    <col customWidth="1" min="7" max="8" width="10.71"/>
  </cols>
  <sheetData>
    <row r="2" ht="35.25" customHeight="1">
      <c r="B2" s="2" t="str">
        <f>IF(OR('1.CÁL'!$D$29=TRUE,'1.CÁL'!$F$29="OK"),"LIQUIDACIÓN CORRECTA","NO VÁLIDA")</f>
        <v>#DIV/0!</v>
      </c>
    </row>
    <row r="3" ht="15.75" customHeight="1">
      <c r="B3" s="278" t="s">
        <v>178</v>
      </c>
      <c r="C3" s="279"/>
      <c r="D3" s="280"/>
      <c r="E3" s="281"/>
      <c r="F3" s="280"/>
    </row>
    <row r="4" ht="15.75" customHeight="1">
      <c r="B4" s="282"/>
      <c r="D4" s="283"/>
      <c r="E4" s="282"/>
      <c r="F4" s="283"/>
    </row>
    <row r="5" ht="15.75" customHeight="1">
      <c r="B5" s="284" t="s">
        <v>179</v>
      </c>
      <c r="C5" s="118"/>
      <c r="D5" s="285"/>
      <c r="E5" s="282"/>
      <c r="F5" s="283"/>
      <c r="G5" s="286"/>
    </row>
    <row r="6" ht="15.75" customHeight="1">
      <c r="B6" s="287" t="s">
        <v>180</v>
      </c>
      <c r="C6" s="118"/>
      <c r="D6" s="288">
        <f>TODAY()</f>
        <v>46181</v>
      </c>
      <c r="E6" s="282"/>
      <c r="F6" s="283"/>
      <c r="G6" s="286"/>
    </row>
    <row r="7" ht="15.0" customHeight="1">
      <c r="B7" s="289" t="s">
        <v>181</v>
      </c>
      <c r="C7" s="144"/>
      <c r="D7" s="118"/>
      <c r="E7" s="282"/>
      <c r="F7" s="283"/>
      <c r="G7" s="286"/>
    </row>
    <row r="8" ht="15.0" customHeight="1">
      <c r="B8" s="284" t="s">
        <v>182</v>
      </c>
      <c r="C8" s="118"/>
      <c r="D8" s="285"/>
      <c r="E8" s="282"/>
      <c r="F8" s="283"/>
      <c r="G8" s="286"/>
    </row>
    <row r="9" ht="15.0" customHeight="1">
      <c r="B9" s="284" t="s">
        <v>183</v>
      </c>
      <c r="C9" s="118"/>
      <c r="D9" s="290"/>
      <c r="E9" s="282"/>
      <c r="F9" s="283"/>
      <c r="G9" s="286"/>
    </row>
    <row r="10" ht="29.25" customHeight="1">
      <c r="B10" s="284" t="s">
        <v>184</v>
      </c>
      <c r="C10" s="118"/>
      <c r="D10" s="291"/>
      <c r="E10" s="282"/>
      <c r="F10" s="283"/>
      <c r="G10" s="286"/>
    </row>
    <row r="11" ht="14.25" customHeight="1">
      <c r="B11" s="284" t="s">
        <v>185</v>
      </c>
      <c r="C11" s="118"/>
      <c r="D11" s="285"/>
      <c r="E11" s="292"/>
      <c r="F11" s="293"/>
      <c r="G11" s="286"/>
    </row>
    <row r="12" ht="14.25" customHeight="1">
      <c r="B12" s="284" t="s">
        <v>186</v>
      </c>
      <c r="C12" s="118"/>
      <c r="D12" s="290"/>
      <c r="E12" s="294" t="s">
        <v>187</v>
      </c>
      <c r="F12" s="295">
        <f>'1.CÁL'!Q6/1.1</f>
        <v>0</v>
      </c>
      <c r="G12" s="286"/>
    </row>
    <row r="13" ht="14.25" customHeight="1">
      <c r="B13" s="284" t="s">
        <v>188</v>
      </c>
      <c r="C13" s="118"/>
      <c r="D13" s="291"/>
      <c r="E13" s="296" t="s">
        <v>189</v>
      </c>
      <c r="F13" s="297">
        <f>'1.CÁL'!K6</f>
        <v>3</v>
      </c>
    </row>
    <row r="14" ht="14.25" customHeight="1">
      <c r="B14" s="287" t="s">
        <v>190</v>
      </c>
      <c r="C14" s="118"/>
      <c r="D14" s="291"/>
      <c r="E14" s="294" t="s">
        <v>191</v>
      </c>
      <c r="F14" s="295">
        <f>'1.CÁL'!R6</f>
        <v>0</v>
      </c>
    </row>
    <row r="15">
      <c r="B15" s="298" t="s">
        <v>192</v>
      </c>
      <c r="C15" s="299"/>
      <c r="D15" s="300" t="s">
        <v>193</v>
      </c>
      <c r="E15" s="298" t="s">
        <v>194</v>
      </c>
      <c r="F15" s="118"/>
    </row>
    <row r="16">
      <c r="B16" s="301">
        <v>1.0</v>
      </c>
      <c r="C16" s="118"/>
      <c r="D16" s="285" t="s">
        <v>195</v>
      </c>
      <c r="E16" s="302">
        <f>'1.CÁL'!C14+'1.CÁL'!T6</f>
        <v>0</v>
      </c>
      <c r="F16" s="118"/>
    </row>
    <row r="17">
      <c r="B17" s="303">
        <v>2.0</v>
      </c>
      <c r="C17" s="118"/>
      <c r="D17" s="285" t="s">
        <v>196</v>
      </c>
      <c r="E17" s="302">
        <f>'1.CÁL'!D14+'1.CÁL'!J14</f>
        <v>0</v>
      </c>
      <c r="F17" s="118"/>
    </row>
    <row r="18">
      <c r="B18" s="301">
        <v>3.0</v>
      </c>
      <c r="C18" s="118"/>
      <c r="D18" s="304" t="s">
        <v>197</v>
      </c>
      <c r="E18" s="302">
        <f>'1.CÁL'!E14</f>
        <v>0</v>
      </c>
      <c r="F18" s="118"/>
    </row>
    <row r="19">
      <c r="B19" s="303">
        <v>4.0</v>
      </c>
      <c r="C19" s="118"/>
      <c r="D19" s="285" t="s">
        <v>134</v>
      </c>
      <c r="E19" s="302" t="str">
        <f>'1.CÁL'!F14</f>
        <v>#DIV/0!</v>
      </c>
      <c r="F19" s="118"/>
    </row>
    <row r="20">
      <c r="B20" s="301">
        <v>5.0</v>
      </c>
      <c r="C20" s="118"/>
      <c r="D20" s="285" t="s">
        <v>198</v>
      </c>
      <c r="E20" s="305" t="str">
        <f>'1.CÁL'!I14</f>
        <v>#DIV/0!</v>
      </c>
      <c r="F20" s="118"/>
    </row>
    <row r="21" ht="15.75" customHeight="1">
      <c r="B21" s="303">
        <v>6.0</v>
      </c>
      <c r="C21" s="118"/>
      <c r="D21" s="285" t="s">
        <v>199</v>
      </c>
      <c r="E21" s="302">
        <f>'1.CÁL'!K14</f>
        <v>10</v>
      </c>
      <c r="F21" s="118"/>
    </row>
    <row r="22" ht="15.75" customHeight="1">
      <c r="B22" s="301">
        <v>7.0</v>
      </c>
      <c r="C22" s="118"/>
      <c r="D22" s="285" t="s">
        <v>200</v>
      </c>
      <c r="E22" s="302" t="str">
        <f>'1.CÁL'!M14+'1.CÁL'!L14</f>
        <v>#DIV/0!</v>
      </c>
      <c r="F22" s="118"/>
    </row>
    <row r="23" ht="15.75" customHeight="1">
      <c r="B23" s="303">
        <v>8.0</v>
      </c>
      <c r="C23" s="118"/>
      <c r="D23" s="285" t="s">
        <v>201</v>
      </c>
      <c r="E23" s="302">
        <f>'1.CÁL'!O14</f>
        <v>0</v>
      </c>
      <c r="F23" s="118"/>
    </row>
    <row r="24" ht="15.75" customHeight="1">
      <c r="B24" s="301">
        <v>9.0</v>
      </c>
      <c r="C24" s="118"/>
      <c r="D24" s="285" t="s">
        <v>202</v>
      </c>
      <c r="E24" s="302">
        <f>'1.CÁL'!Q14</f>
        <v>180</v>
      </c>
      <c r="F24" s="118"/>
    </row>
    <row r="25" ht="15.75" customHeight="1">
      <c r="B25" s="301">
        <v>10.0</v>
      </c>
      <c r="C25" s="118"/>
      <c r="D25" s="285" t="s">
        <v>203</v>
      </c>
      <c r="E25" s="302">
        <f>'1.CÁL'!R14</f>
        <v>1</v>
      </c>
      <c r="F25" s="118"/>
    </row>
    <row r="26" ht="15.75" customHeight="1">
      <c r="B26" s="303">
        <v>11.0</v>
      </c>
      <c r="C26" s="118"/>
      <c r="D26" s="285" t="s">
        <v>204</v>
      </c>
      <c r="E26" s="302">
        <f>'1.CÁL'!S14</f>
        <v>0</v>
      </c>
      <c r="F26" s="118"/>
    </row>
    <row r="27" ht="15.75" customHeight="1">
      <c r="B27" s="301">
        <v>12.0</v>
      </c>
      <c r="C27" s="118"/>
      <c r="D27" s="285" t="s">
        <v>205</v>
      </c>
      <c r="E27" s="302">
        <f>'1.CÁL'!V14</f>
        <v>0</v>
      </c>
      <c r="F27" s="118"/>
    </row>
    <row r="28" ht="15.75" customHeight="1">
      <c r="B28" s="306">
        <v>13.0</v>
      </c>
      <c r="C28" s="118"/>
      <c r="D28" s="285" t="s">
        <v>206</v>
      </c>
      <c r="E28" s="307">
        <f>'1.CÁL'!U14</f>
        <v>0</v>
      </c>
      <c r="F28" s="118"/>
    </row>
    <row r="29" ht="15.75" customHeight="1">
      <c r="B29" s="306">
        <v>14.0</v>
      </c>
      <c r="C29" s="118"/>
      <c r="D29" s="285" t="s">
        <v>47</v>
      </c>
      <c r="E29" s="307" t="str">
        <f>'1.CÁL'!N14</f>
        <v>#DIV/0!</v>
      </c>
      <c r="F29" s="118"/>
    </row>
    <row r="30" ht="26.25" customHeight="1">
      <c r="B30" s="308">
        <v>15.0</v>
      </c>
      <c r="C30" s="118"/>
      <c r="D30" s="309" t="s">
        <v>207</v>
      </c>
      <c r="E30" s="310" t="str">
        <f>SUM(E16:F29)+F40</f>
        <v>#DIV/0!</v>
      </c>
      <c r="F30" s="118"/>
    </row>
    <row r="31" ht="15.75" customHeight="1">
      <c r="B31" s="311">
        <v>16.0</v>
      </c>
      <c r="C31" s="118"/>
      <c r="D31" s="285" t="s">
        <v>49</v>
      </c>
      <c r="E31" s="307" t="str">
        <f>'1.CÁL'!P14</f>
        <v>#DIV/0!</v>
      </c>
      <c r="F31" s="118"/>
    </row>
    <row r="32" ht="15.75" customHeight="1">
      <c r="B32" s="311">
        <v>17.0</v>
      </c>
      <c r="C32" s="118"/>
      <c r="D32" s="285" t="s">
        <v>208</v>
      </c>
      <c r="E32" s="307" t="str">
        <f>'1.CÁL'!G14</f>
        <v>#DIV/0!</v>
      </c>
      <c r="F32" s="118"/>
    </row>
    <row r="33" ht="14.25" customHeight="1">
      <c r="B33" s="303"/>
      <c r="C33" s="118"/>
      <c r="D33" s="312" t="s">
        <v>56</v>
      </c>
      <c r="E33" s="313" t="str">
        <f>SUM(E30:F32)</f>
        <v>#DIV/0!</v>
      </c>
      <c r="F33" s="118"/>
    </row>
    <row r="34" ht="27.0" customHeight="1">
      <c r="B34" s="314" t="s">
        <v>209</v>
      </c>
      <c r="C34" s="279"/>
      <c r="D34" s="280"/>
      <c r="E34" s="315" t="s">
        <v>210</v>
      </c>
      <c r="F34" s="316" t="s">
        <v>211</v>
      </c>
      <c r="G34" s="2"/>
    </row>
    <row r="35" ht="15.75" customHeight="1">
      <c r="B35" s="292"/>
      <c r="C35" s="317"/>
      <c r="D35" s="293"/>
      <c r="E35" s="318" t="str">
        <f t="shared" ref="E35:E38" si="1">F35*1.055</f>
        <v>#DIV/0!</v>
      </c>
      <c r="F35" s="319" t="str">
        <f>E33</f>
        <v>#DIV/0!</v>
      </c>
      <c r="G35" s="2" t="str">
        <f>IF(F35=F66,"","no coinciden")</f>
        <v>#DIV/0!</v>
      </c>
    </row>
    <row r="36" ht="15.75" customHeight="1">
      <c r="B36" s="320" t="s">
        <v>212</v>
      </c>
      <c r="C36" s="144"/>
      <c r="D36" s="118"/>
      <c r="E36" s="318">
        <f t="shared" si="1"/>
        <v>0</v>
      </c>
      <c r="F36" s="321">
        <f>E16</f>
        <v>0</v>
      </c>
    </row>
    <row r="37" ht="16.5" customHeight="1">
      <c r="B37" s="320" t="s">
        <v>213</v>
      </c>
      <c r="C37" s="144"/>
      <c r="D37" s="118"/>
      <c r="E37" s="318" t="str">
        <f t="shared" si="1"/>
        <v>#DIV/0!</v>
      </c>
      <c r="F37" s="321" t="str">
        <f>F35-F36-F38</f>
        <v>#DIV/0!</v>
      </c>
    </row>
    <row r="38" ht="16.5" customHeight="1">
      <c r="B38" s="320" t="s">
        <v>214</v>
      </c>
      <c r="C38" s="144"/>
      <c r="D38" s="118"/>
      <c r="E38" s="318" t="str">
        <f t="shared" si="1"/>
        <v>#DIV/0!</v>
      </c>
      <c r="F38" s="321" t="str">
        <f>+E21+E22+E23+E25+E26+E31+F40+E27+E29+E28+(E24*50%)</f>
        <v>#DIV/0!</v>
      </c>
    </row>
    <row r="39" ht="15.75" customHeight="1">
      <c r="B39" s="322" t="s">
        <v>215</v>
      </c>
      <c r="C39" s="144"/>
      <c r="D39" s="144"/>
      <c r="E39" s="144"/>
      <c r="F39" s="118"/>
    </row>
    <row r="40" ht="24.0" customHeight="1">
      <c r="B40" s="323" t="s">
        <v>216</v>
      </c>
      <c r="C40" s="144"/>
      <c r="D40" s="118"/>
      <c r="E40" s="324">
        <v>0.006</v>
      </c>
      <c r="F40" s="325" t="str">
        <f>'1.CÁL'!T14</f>
        <v>#DIV/0!</v>
      </c>
    </row>
    <row r="41" ht="41.25" customHeight="1">
      <c r="B41" s="326" t="s">
        <v>217</v>
      </c>
      <c r="C41" s="144"/>
      <c r="D41" s="144"/>
      <c r="E41" s="144"/>
      <c r="F41" s="118"/>
    </row>
    <row r="42" ht="18.0" customHeight="1">
      <c r="B42" s="327" t="s">
        <v>218</v>
      </c>
      <c r="C42" s="144"/>
      <c r="D42" s="144"/>
      <c r="E42" s="144"/>
      <c r="F42" s="118"/>
    </row>
    <row r="43" ht="18.0" customHeight="1">
      <c r="B43" s="328" t="s">
        <v>219</v>
      </c>
      <c r="C43" s="144"/>
      <c r="D43" s="144"/>
      <c r="E43" s="144"/>
      <c r="F43" s="118"/>
    </row>
    <row r="44" ht="18.0" customHeight="1">
      <c r="B44" s="328" t="s">
        <v>220</v>
      </c>
      <c r="C44" s="144"/>
      <c r="D44" s="144"/>
      <c r="E44" s="144"/>
      <c r="F44" s="118"/>
    </row>
    <row r="45" ht="18.0" customHeight="1">
      <c r="B45" s="328" t="s">
        <v>221</v>
      </c>
      <c r="C45" s="144"/>
      <c r="D45" s="144"/>
      <c r="E45" s="144"/>
      <c r="F45" s="118"/>
    </row>
    <row r="46" ht="18.0" customHeight="1">
      <c r="B46" s="328" t="s">
        <v>222</v>
      </c>
      <c r="C46" s="144"/>
      <c r="D46" s="144"/>
      <c r="E46" s="144"/>
      <c r="F46" s="118"/>
    </row>
    <row r="47" ht="17.25" customHeight="1">
      <c r="B47" s="329" t="s">
        <v>223</v>
      </c>
      <c r="C47" s="144"/>
      <c r="D47" s="144"/>
      <c r="E47" s="144"/>
      <c r="F47" s="118"/>
    </row>
    <row r="48" ht="27.75" customHeight="1">
      <c r="B48" s="327" t="s">
        <v>224</v>
      </c>
      <c r="C48" s="144"/>
      <c r="D48" s="144"/>
      <c r="E48" s="144"/>
      <c r="F48" s="118"/>
    </row>
    <row r="49">
      <c r="B49" s="327" t="s">
        <v>225</v>
      </c>
      <c r="C49" s="144"/>
      <c r="D49" s="144"/>
      <c r="E49" s="144"/>
      <c r="F49" s="118"/>
    </row>
    <row r="50" ht="15.75" customHeight="1">
      <c r="B50" s="322" t="s">
        <v>226</v>
      </c>
      <c r="C50" s="144"/>
      <c r="D50" s="144"/>
      <c r="E50" s="144"/>
      <c r="F50" s="118"/>
    </row>
    <row r="51" ht="16.5" customHeight="1">
      <c r="B51" s="330" t="s">
        <v>227</v>
      </c>
      <c r="C51" s="144"/>
      <c r="D51" s="144"/>
      <c r="E51" s="144"/>
      <c r="F51" s="118"/>
    </row>
    <row r="52" ht="16.5" customHeight="1">
      <c r="B52" s="328" t="s">
        <v>228</v>
      </c>
      <c r="C52" s="144"/>
      <c r="D52" s="144"/>
      <c r="E52" s="144"/>
      <c r="F52" s="118"/>
    </row>
    <row r="53" ht="27.75" customHeight="1">
      <c r="B53" s="328" t="s">
        <v>229</v>
      </c>
      <c r="C53" s="144"/>
      <c r="D53" s="144"/>
      <c r="E53" s="144"/>
      <c r="F53" s="118"/>
    </row>
    <row r="54" ht="15.75" customHeight="1"/>
    <row r="55" ht="15.75" customHeight="1"/>
    <row r="56" ht="15.75" customHeight="1"/>
    <row r="57" ht="15.75" customHeight="1"/>
    <row r="58" ht="23.25" customHeight="1"/>
    <row r="59" ht="15.75" customHeight="1"/>
    <row r="60" ht="15.75" customHeight="1">
      <c r="B60" s="331" t="s">
        <v>230</v>
      </c>
      <c r="C60" s="279"/>
      <c r="D60" s="279"/>
      <c r="E60" s="279"/>
      <c r="F60" s="280"/>
    </row>
    <row r="61" ht="15.75" customHeight="1">
      <c r="B61" s="292"/>
      <c r="C61" s="317"/>
      <c r="D61" s="317"/>
      <c r="E61" s="317"/>
      <c r="F61" s="293"/>
    </row>
    <row r="62" ht="39.75" customHeight="1">
      <c r="A62" s="332" t="s">
        <v>231</v>
      </c>
      <c r="B62" s="333" t="s">
        <v>232</v>
      </c>
      <c r="C62" s="332" t="s">
        <v>233</v>
      </c>
      <c r="D62" s="332" t="s">
        <v>234</v>
      </c>
      <c r="E62" s="332" t="s">
        <v>235</v>
      </c>
      <c r="F62" s="332" t="s">
        <v>56</v>
      </c>
    </row>
    <row r="63" ht="16.5" customHeight="1">
      <c r="A63" s="334" t="str">
        <f>'1.CÁL'!D3</f>
        <v/>
      </c>
      <c r="B63" s="335" t="str">
        <f>'1.CÁL'!E3</f>
        <v>#REF!</v>
      </c>
      <c r="C63" s="336">
        <f>'1.CÁL'!L3</f>
        <v>1</v>
      </c>
      <c r="D63" s="337" t="str">
        <f>'1.CÁL'!G3</f>
        <v/>
      </c>
      <c r="E63" s="338" t="str">
        <f>'1.CÁL'!X11</f>
        <v>#DIV/0!</v>
      </c>
      <c r="F63" s="339" t="str">
        <f t="shared" ref="F63:F65" si="2">C63*E63</f>
        <v>#DIV/0!</v>
      </c>
    </row>
    <row r="64" ht="16.5" customHeight="1">
      <c r="A64" s="334" t="str">
        <f>'1.CÁL'!D4</f>
        <v/>
      </c>
      <c r="B64" s="335" t="str">
        <f>'1.CÁL'!E4</f>
        <v>#REF!</v>
      </c>
      <c r="C64" s="336">
        <f>'1.CÁL'!L4</f>
        <v>1</v>
      </c>
      <c r="D64" s="337" t="str">
        <f>'1.CÁL'!G4</f>
        <v/>
      </c>
      <c r="E64" s="338" t="str">
        <f>'1.CÁL'!X12</f>
        <v>#DIV/0!</v>
      </c>
      <c r="F64" s="339" t="str">
        <f t="shared" si="2"/>
        <v>#DIV/0!</v>
      </c>
    </row>
    <row r="65" ht="16.5" customHeight="1">
      <c r="A65" s="334" t="str">
        <f>'1.CÁL'!D5</f>
        <v/>
      </c>
      <c r="B65" s="335" t="str">
        <f>'1.CÁL'!E5</f>
        <v>#REF!</v>
      </c>
      <c r="C65" s="336">
        <f>'1.CÁL'!L5</f>
        <v>1</v>
      </c>
      <c r="D65" s="337" t="str">
        <f>'1.CÁL'!G5</f>
        <v/>
      </c>
      <c r="E65" s="338" t="str">
        <f>'1.CÁL'!X13</f>
        <v>#DIV/0!</v>
      </c>
      <c r="F65" s="339" t="str">
        <f t="shared" si="2"/>
        <v>#DIV/0!</v>
      </c>
    </row>
    <row r="66" ht="15.75" customHeight="1">
      <c r="B66" s="340" t="s">
        <v>118</v>
      </c>
      <c r="C66" s="144"/>
      <c r="D66" s="144"/>
      <c r="E66" s="118"/>
      <c r="F66" s="203">
        <f>SUMIF(F63:F65,"&gt;0")</f>
        <v>0</v>
      </c>
      <c r="G66" s="2" t="str">
        <f>IF(E33=F66,"","no coinciden")</f>
        <v>#DIV/0!</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sheetData>
  <mergeCells count="75">
    <mergeCell ref="B31:C31"/>
    <mergeCell ref="B32:C32"/>
    <mergeCell ref="B33:C33"/>
    <mergeCell ref="B34:D35"/>
    <mergeCell ref="G35:H35"/>
    <mergeCell ref="B36:D36"/>
    <mergeCell ref="B37:D37"/>
    <mergeCell ref="B38:D38"/>
    <mergeCell ref="B39:F39"/>
    <mergeCell ref="B40:D40"/>
    <mergeCell ref="B41:F41"/>
    <mergeCell ref="B42:F42"/>
    <mergeCell ref="B43:F43"/>
    <mergeCell ref="B44:F44"/>
    <mergeCell ref="B52:F52"/>
    <mergeCell ref="B53:F53"/>
    <mergeCell ref="B54:F59"/>
    <mergeCell ref="B60:F61"/>
    <mergeCell ref="B66:E66"/>
    <mergeCell ref="G66:H66"/>
    <mergeCell ref="B45:F45"/>
    <mergeCell ref="B46:F46"/>
    <mergeCell ref="B47:F47"/>
    <mergeCell ref="B48:F48"/>
    <mergeCell ref="B49:F49"/>
    <mergeCell ref="B50:F50"/>
    <mergeCell ref="B51:F51"/>
    <mergeCell ref="B2:F2"/>
    <mergeCell ref="B3:D4"/>
    <mergeCell ref="B5:C5"/>
    <mergeCell ref="B6:C6"/>
    <mergeCell ref="B7:D7"/>
    <mergeCell ref="B8:C8"/>
    <mergeCell ref="B11:C11"/>
    <mergeCell ref="B9:C9"/>
    <mergeCell ref="B10:C10"/>
    <mergeCell ref="B12:C12"/>
    <mergeCell ref="B13:C13"/>
    <mergeCell ref="B14:C14"/>
    <mergeCell ref="B15:C15"/>
    <mergeCell ref="B16:C16"/>
    <mergeCell ref="E3:F11"/>
    <mergeCell ref="E15:F15"/>
    <mergeCell ref="E16:F16"/>
    <mergeCell ref="E17:F17"/>
    <mergeCell ref="E18:F18"/>
    <mergeCell ref="E19:F19"/>
    <mergeCell ref="E20:F20"/>
    <mergeCell ref="B17:C17"/>
    <mergeCell ref="B18:C18"/>
    <mergeCell ref="B19:C19"/>
    <mergeCell ref="B20:C20"/>
    <mergeCell ref="B21:C21"/>
    <mergeCell ref="B22:C22"/>
    <mergeCell ref="B23:C23"/>
    <mergeCell ref="E28:F28"/>
    <mergeCell ref="E29:F29"/>
    <mergeCell ref="E30:F30"/>
    <mergeCell ref="E31:F31"/>
    <mergeCell ref="E32:F32"/>
    <mergeCell ref="E33:F33"/>
    <mergeCell ref="E21:F21"/>
    <mergeCell ref="E22:F22"/>
    <mergeCell ref="E23:F23"/>
    <mergeCell ref="E24:F24"/>
    <mergeCell ref="E25:F25"/>
    <mergeCell ref="E26:F26"/>
    <mergeCell ref="E27:F27"/>
    <mergeCell ref="B24:C24"/>
    <mergeCell ref="B25:C25"/>
    <mergeCell ref="B26:C26"/>
    <mergeCell ref="B27:C27"/>
    <mergeCell ref="B28:C28"/>
    <mergeCell ref="B29:C29"/>
    <mergeCell ref="B30:C30"/>
  </mergeCells>
  <conditionalFormatting sqref="D6">
    <cfRule type="expression" dxfId="4" priority="1">
      <formula>D6=44440.0</formula>
    </cfRule>
  </conditionalFormatting>
  <conditionalFormatting sqref="D6">
    <cfRule type="expression" dxfId="4" priority="2">
      <formula>D6=44391.0</formula>
    </cfRule>
  </conditionalFormatting>
  <conditionalFormatting sqref="D6">
    <cfRule type="expression" dxfId="4" priority="3">
      <formula>D6=44470.0</formula>
    </cfRule>
  </conditionalFormatting>
  <conditionalFormatting sqref="D8:D13 E20:F20">
    <cfRule type="containsBlanks" dxfId="4" priority="4">
      <formula>LEN(TRIM(D8))=0</formula>
    </cfRule>
  </conditionalFormatting>
  <conditionalFormatting sqref="D5">
    <cfRule type="containsBlanks" dxfId="4" priority="5">
      <formula>LEN(TRIM(D5))=0</formula>
    </cfRule>
  </conditionalFormatting>
  <conditionalFormatting sqref="G34:G35 H35">
    <cfRule type="containsText" dxfId="19" priority="6" operator="containsText" text="no">
      <formula>NOT(ISERROR(SEARCH(("no"),(G34))))</formula>
    </cfRule>
  </conditionalFormatting>
  <conditionalFormatting sqref="G66:H66">
    <cfRule type="containsText" dxfId="19" priority="7" operator="containsText" text="no">
      <formula>NOT(ISERROR(SEARCH(("no"),(G66))))</formula>
    </cfRule>
  </conditionalFormatting>
  <conditionalFormatting sqref="E40:F40">
    <cfRule type="containsBlanks" dxfId="4" priority="8">
      <formula>LEN(TRIM(E40))=0</formula>
    </cfRule>
  </conditionalFormatting>
  <conditionalFormatting sqref="B2:F2">
    <cfRule type="containsText" dxfId="19" priority="9" operator="containsText" text="NO">
      <formula>NOT(ISERROR(SEARCH(("NO"),(B2))))</formula>
    </cfRule>
  </conditionalFormatting>
  <conditionalFormatting sqref="B2:F2">
    <cfRule type="containsText" dxfId="26" priority="10" operator="containsText" text="CORRECTA">
      <formula>NOT(ISERROR(SEARCH(("CORRECTA"),(B2))))</formula>
    </cfRule>
  </conditionalFormatting>
  <dataValidations>
    <dataValidation type="list" allowBlank="1" sqref="D5">
      <formula1>"01 Denisse De la Cruz,02 Margarita Carpio,03 Gabriela Nuñez,04 Marly Morán,05 Karina Vivas,06 Daniel Benitez,07 Marilyn Cajas,08 María José Rosas,09 Jhonny López,11 Sami Cachinguango,13 Ivis Anchundia,14 Damaris Ñacato,15 Veyda Isvannath "</formula1>
    </dataValidation>
  </dataValidations>
  <printOptions/>
  <pageMargins bottom="0.75" footer="0.0" header="0.0" left="0.7" right="0.7" top="0.75"/>
  <pageSetup scale="94"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3" width="11.57"/>
    <col customWidth="1" min="4" max="4" width="53.43"/>
    <col customWidth="1" min="5" max="5" width="16.57"/>
    <col customWidth="1" min="6" max="6" width="18.14"/>
    <col customWidth="1" min="7" max="8" width="10.71"/>
  </cols>
  <sheetData>
    <row r="2" ht="35.25" customHeight="1">
      <c r="B2" s="2" t="str">
        <f>IF(OR('1.CÁL'!$D$29=TRUE,'1.CÁL'!$F$29="OK"),"LIQUIDACIÓN CORRECTA","NO VÁLIDA")</f>
        <v>#DIV/0!</v>
      </c>
    </row>
    <row r="3" ht="15.75" customHeight="1">
      <c r="B3" s="278" t="s">
        <v>178</v>
      </c>
      <c r="C3" s="279"/>
      <c r="D3" s="280"/>
      <c r="E3" s="281"/>
      <c r="F3" s="280"/>
    </row>
    <row r="4" ht="15.75" customHeight="1">
      <c r="B4" s="282"/>
      <c r="D4" s="283"/>
      <c r="E4" s="282"/>
      <c r="F4" s="283"/>
    </row>
    <row r="5" ht="15.75" customHeight="1">
      <c r="B5" s="284" t="s">
        <v>179</v>
      </c>
      <c r="C5" s="118"/>
      <c r="D5" s="285"/>
      <c r="E5" s="282"/>
      <c r="F5" s="283"/>
      <c r="G5" s="286"/>
    </row>
    <row r="6" ht="15.75" customHeight="1">
      <c r="B6" s="287" t="s">
        <v>180</v>
      </c>
      <c r="C6" s="118"/>
      <c r="D6" s="288">
        <f>TODAY()</f>
        <v>46181</v>
      </c>
      <c r="E6" s="282"/>
      <c r="F6" s="283"/>
      <c r="G6" s="286"/>
    </row>
    <row r="7" ht="15.0" customHeight="1">
      <c r="B7" s="289" t="s">
        <v>181</v>
      </c>
      <c r="C7" s="144"/>
      <c r="D7" s="118"/>
      <c r="E7" s="282"/>
      <c r="F7" s="283"/>
      <c r="G7" s="286"/>
    </row>
    <row r="8" ht="15.0" customHeight="1">
      <c r="B8" s="284" t="s">
        <v>182</v>
      </c>
      <c r="C8" s="118"/>
      <c r="D8" s="285"/>
      <c r="E8" s="282"/>
      <c r="F8" s="283"/>
      <c r="G8" s="286"/>
    </row>
    <row r="9" ht="15.0" customHeight="1">
      <c r="B9" s="284" t="s">
        <v>183</v>
      </c>
      <c r="C9" s="118"/>
      <c r="D9" s="290"/>
      <c r="E9" s="282"/>
      <c r="F9" s="283"/>
      <c r="G9" s="286"/>
    </row>
    <row r="10" ht="29.25" customHeight="1">
      <c r="B10" s="284" t="s">
        <v>184</v>
      </c>
      <c r="C10" s="118"/>
      <c r="D10" s="291"/>
      <c r="E10" s="282"/>
      <c r="F10" s="283"/>
      <c r="G10" s="286"/>
    </row>
    <row r="11" ht="14.25" customHeight="1">
      <c r="B11" s="284" t="s">
        <v>185</v>
      </c>
      <c r="C11" s="118"/>
      <c r="D11" s="285"/>
      <c r="E11" s="292"/>
      <c r="F11" s="293"/>
      <c r="G11" s="286"/>
    </row>
    <row r="12" ht="14.25" customHeight="1">
      <c r="B12" s="284" t="s">
        <v>186</v>
      </c>
      <c r="C12" s="118"/>
      <c r="D12" s="290"/>
      <c r="E12" s="294" t="s">
        <v>187</v>
      </c>
      <c r="F12" s="295">
        <f>'1.CÁL'!Q6/1.1</f>
        <v>0</v>
      </c>
      <c r="G12" s="286"/>
    </row>
    <row r="13" ht="14.25" customHeight="1">
      <c r="B13" s="284" t="s">
        <v>188</v>
      </c>
      <c r="C13" s="118"/>
      <c r="D13" s="291"/>
      <c r="E13" s="296" t="s">
        <v>189</v>
      </c>
      <c r="F13" s="297">
        <f>'1.CÁL'!K6</f>
        <v>3</v>
      </c>
    </row>
    <row r="14" ht="14.25" customHeight="1">
      <c r="B14" s="287" t="s">
        <v>190</v>
      </c>
      <c r="C14" s="118"/>
      <c r="D14" s="291"/>
      <c r="E14" s="294" t="s">
        <v>191</v>
      </c>
      <c r="F14" s="295">
        <f>'1.CÁL'!R6</f>
        <v>0</v>
      </c>
    </row>
    <row r="15">
      <c r="B15" s="298" t="s">
        <v>192</v>
      </c>
      <c r="C15" s="299"/>
      <c r="D15" s="300" t="s">
        <v>193</v>
      </c>
      <c r="E15" s="298" t="s">
        <v>194</v>
      </c>
      <c r="F15" s="118"/>
    </row>
    <row r="16">
      <c r="B16" s="301">
        <v>1.0</v>
      </c>
      <c r="C16" s="118"/>
      <c r="D16" s="285" t="s">
        <v>195</v>
      </c>
      <c r="E16" s="302">
        <f>'1.CÁL'!C14+'1.CÁL'!T6</f>
        <v>0</v>
      </c>
      <c r="F16" s="118"/>
    </row>
    <row r="17">
      <c r="B17" s="303">
        <v>2.0</v>
      </c>
      <c r="C17" s="118"/>
      <c r="D17" s="285" t="s">
        <v>196</v>
      </c>
      <c r="E17" s="302">
        <f>'1.CÁL'!D14+'1.CÁL'!J14</f>
        <v>0</v>
      </c>
      <c r="F17" s="118"/>
    </row>
    <row r="18">
      <c r="B18" s="301">
        <v>3.0</v>
      </c>
      <c r="C18" s="118"/>
      <c r="D18" s="304" t="s">
        <v>197</v>
      </c>
      <c r="E18" s="302">
        <f>'1.CÁL'!E14</f>
        <v>0</v>
      </c>
      <c r="F18" s="118"/>
    </row>
    <row r="19">
      <c r="B19" s="303">
        <v>4.0</v>
      </c>
      <c r="C19" s="118"/>
      <c r="D19" s="285" t="s">
        <v>134</v>
      </c>
      <c r="E19" s="302" t="str">
        <f>'1.CÁL'!F14</f>
        <v>#DIV/0!</v>
      </c>
      <c r="F19" s="118"/>
    </row>
    <row r="20">
      <c r="B20" s="301">
        <v>5.0</v>
      </c>
      <c r="C20" s="118"/>
      <c r="D20" s="285" t="s">
        <v>198</v>
      </c>
      <c r="E20" s="305" t="str">
        <f>'1.CÁL'!I14</f>
        <v>#DIV/0!</v>
      </c>
      <c r="F20" s="118"/>
    </row>
    <row r="21" ht="15.75" customHeight="1">
      <c r="B21" s="303">
        <v>6.0</v>
      </c>
      <c r="C21" s="118"/>
      <c r="D21" s="285" t="s">
        <v>199</v>
      </c>
      <c r="E21" s="302">
        <f>'1.CÁL'!K14</f>
        <v>10</v>
      </c>
      <c r="F21" s="118"/>
    </row>
    <row r="22" ht="15.75" customHeight="1">
      <c r="B22" s="301">
        <v>7.0</v>
      </c>
      <c r="C22" s="118"/>
      <c r="D22" s="285" t="s">
        <v>200</v>
      </c>
      <c r="E22" s="302" t="str">
        <f>'1.CÁL'!M14+'1.CÁL'!L14</f>
        <v>#DIV/0!</v>
      </c>
      <c r="F22" s="118"/>
    </row>
    <row r="23" ht="15.75" customHeight="1">
      <c r="B23" s="303">
        <v>8.0</v>
      </c>
      <c r="C23" s="118"/>
      <c r="D23" s="285" t="s">
        <v>201</v>
      </c>
      <c r="E23" s="302" t="str">
        <f>'1.CÁL'!O14+'1.CÁL'!N14</f>
        <v>#DIV/0!</v>
      </c>
      <c r="F23" s="118"/>
    </row>
    <row r="24" ht="15.75" customHeight="1">
      <c r="B24" s="301">
        <v>9.0</v>
      </c>
      <c r="C24" s="118"/>
      <c r="D24" s="285" t="s">
        <v>202</v>
      </c>
      <c r="E24" s="302">
        <f>'1.CÁL'!Q14</f>
        <v>180</v>
      </c>
      <c r="F24" s="118"/>
    </row>
    <row r="25" ht="15.75" customHeight="1">
      <c r="B25" s="301">
        <v>10.0</v>
      </c>
      <c r="C25" s="118"/>
      <c r="D25" s="285" t="s">
        <v>203</v>
      </c>
      <c r="E25" s="302">
        <f>'1.CÁL'!R14</f>
        <v>1</v>
      </c>
      <c r="F25" s="118"/>
    </row>
    <row r="26" ht="15.75" customHeight="1">
      <c r="B26" s="303">
        <v>11.0</v>
      </c>
      <c r="C26" s="118"/>
      <c r="D26" s="285" t="s">
        <v>204</v>
      </c>
      <c r="E26" s="302">
        <f>'1.CÁL'!S14</f>
        <v>0</v>
      </c>
      <c r="F26" s="118"/>
    </row>
    <row r="27" ht="15.75" customHeight="1">
      <c r="B27" s="301">
        <v>12.0</v>
      </c>
      <c r="C27" s="118"/>
      <c r="D27" s="285" t="s">
        <v>205</v>
      </c>
      <c r="E27" s="302">
        <f>'1.CÁL'!V14</f>
        <v>0</v>
      </c>
      <c r="F27" s="118"/>
    </row>
    <row r="28" ht="15.75" customHeight="1">
      <c r="B28" s="306">
        <v>13.0</v>
      </c>
      <c r="C28" s="118"/>
      <c r="D28" s="285" t="s">
        <v>206</v>
      </c>
      <c r="E28" s="307">
        <f>'1.CÁL'!U14</f>
        <v>0</v>
      </c>
      <c r="F28" s="118"/>
    </row>
    <row r="29" ht="15.75" customHeight="1">
      <c r="B29" s="306">
        <v>14.0</v>
      </c>
      <c r="C29" s="118"/>
      <c r="D29" s="285" t="s">
        <v>111</v>
      </c>
      <c r="E29" s="307">
        <v>0.0</v>
      </c>
      <c r="F29" s="118"/>
    </row>
    <row r="30" ht="26.25" customHeight="1">
      <c r="B30" s="308">
        <v>15.0</v>
      </c>
      <c r="C30" s="118"/>
      <c r="D30" s="309" t="s">
        <v>207</v>
      </c>
      <c r="E30" s="310" t="str">
        <f>SUM(E16:F29)+F39</f>
        <v>#DIV/0!</v>
      </c>
      <c r="F30" s="118"/>
    </row>
    <row r="31" ht="15.75" customHeight="1">
      <c r="B31" s="311">
        <v>16.0</v>
      </c>
      <c r="C31" s="118"/>
      <c r="D31" s="285" t="s">
        <v>49</v>
      </c>
      <c r="E31" s="307" t="str">
        <f>'1.CÁL'!P14</f>
        <v>#DIV/0!</v>
      </c>
      <c r="F31" s="118"/>
    </row>
    <row r="32" ht="15.75" customHeight="1">
      <c r="B32" s="311">
        <v>17.0</v>
      </c>
      <c r="C32" s="118"/>
      <c r="D32" s="285" t="s">
        <v>208</v>
      </c>
      <c r="E32" s="307" t="str">
        <f>'1.CÁL'!G14</f>
        <v>#DIV/0!</v>
      </c>
      <c r="F32" s="118"/>
    </row>
    <row r="33" ht="14.25" customHeight="1">
      <c r="B33" s="303"/>
      <c r="C33" s="118"/>
      <c r="D33" s="312" t="s">
        <v>56</v>
      </c>
      <c r="E33" s="313" t="str">
        <f>SUM(E30:F32)</f>
        <v>#DIV/0!</v>
      </c>
      <c r="F33" s="118"/>
    </row>
    <row r="34" ht="27.0" customHeight="1">
      <c r="B34" s="314" t="s">
        <v>209</v>
      </c>
      <c r="C34" s="279"/>
      <c r="D34" s="280"/>
      <c r="E34" s="315" t="s">
        <v>210</v>
      </c>
      <c r="F34" s="316" t="s">
        <v>211</v>
      </c>
      <c r="G34" s="2"/>
    </row>
    <row r="35" ht="15.75" customHeight="1">
      <c r="B35" s="292"/>
      <c r="C35" s="317"/>
      <c r="D35" s="293"/>
      <c r="E35" s="318" t="str">
        <f t="shared" ref="E35:E37" si="1">F35*1.055</f>
        <v>#DIV/0!</v>
      </c>
      <c r="F35" s="319" t="str">
        <f>E33</f>
        <v>#DIV/0!</v>
      </c>
      <c r="G35" s="2" t="str">
        <f>IF(F35=F65,"","no coinciden")</f>
        <v>#DIV/0!</v>
      </c>
    </row>
    <row r="36" ht="15.75" customHeight="1">
      <c r="B36" s="341" t="s">
        <v>236</v>
      </c>
      <c r="C36" s="144"/>
      <c r="D36" s="118"/>
      <c r="E36" s="318" t="str">
        <f t="shared" si="1"/>
        <v>#DIV/0!</v>
      </c>
      <c r="F36" s="321" t="str">
        <f>SUM(E16:F20)+E32+(E24*50%)</f>
        <v>#DIV/0!</v>
      </c>
    </row>
    <row r="37" ht="16.5" customHeight="1">
      <c r="B37" s="341" t="s">
        <v>237</v>
      </c>
      <c r="C37" s="144"/>
      <c r="D37" s="118"/>
      <c r="E37" s="318" t="str">
        <f t="shared" si="1"/>
        <v>#DIV/0!</v>
      </c>
      <c r="F37" s="321" t="str">
        <f>+E21+E22+E23+E25+E26+E31+F39+E27+E29+E28+(E24*50%)</f>
        <v>#DIV/0!</v>
      </c>
    </row>
    <row r="38" ht="15.75" customHeight="1">
      <c r="B38" s="322" t="s">
        <v>215</v>
      </c>
      <c r="C38" s="144"/>
      <c r="D38" s="144"/>
      <c r="E38" s="144"/>
      <c r="F38" s="118"/>
    </row>
    <row r="39" ht="24.0" customHeight="1">
      <c r="B39" s="342" t="s">
        <v>238</v>
      </c>
      <c r="C39" s="144"/>
      <c r="D39" s="118"/>
      <c r="E39" s="324">
        <v>0.006</v>
      </c>
      <c r="F39" s="325" t="str">
        <f>'1.CÁL'!T14</f>
        <v>#DIV/0!</v>
      </c>
    </row>
    <row r="40" ht="41.25" customHeight="1">
      <c r="B40" s="326" t="s">
        <v>217</v>
      </c>
      <c r="C40" s="144"/>
      <c r="D40" s="144"/>
      <c r="E40" s="144"/>
      <c r="F40" s="118"/>
    </row>
    <row r="41" ht="18.0" customHeight="1">
      <c r="B41" s="327" t="s">
        <v>218</v>
      </c>
      <c r="C41" s="144"/>
      <c r="D41" s="144"/>
      <c r="E41" s="144"/>
      <c r="F41" s="118"/>
    </row>
    <row r="42" ht="18.0" customHeight="1">
      <c r="B42" s="328" t="s">
        <v>219</v>
      </c>
      <c r="C42" s="144"/>
      <c r="D42" s="144"/>
      <c r="E42" s="144"/>
      <c r="F42" s="118"/>
    </row>
    <row r="43" ht="18.0" customHeight="1">
      <c r="B43" s="328" t="s">
        <v>220</v>
      </c>
      <c r="C43" s="144"/>
      <c r="D43" s="144"/>
      <c r="E43" s="144"/>
      <c r="F43" s="118"/>
    </row>
    <row r="44" ht="18.0" customHeight="1">
      <c r="B44" s="328" t="s">
        <v>221</v>
      </c>
      <c r="C44" s="144"/>
      <c r="D44" s="144"/>
      <c r="E44" s="144"/>
      <c r="F44" s="118"/>
    </row>
    <row r="45" ht="18.0" customHeight="1">
      <c r="B45" s="328" t="s">
        <v>222</v>
      </c>
      <c r="C45" s="144"/>
      <c r="D45" s="144"/>
      <c r="E45" s="144"/>
      <c r="F45" s="118"/>
    </row>
    <row r="46" ht="17.25" customHeight="1">
      <c r="B46" s="329" t="s">
        <v>223</v>
      </c>
      <c r="C46" s="144"/>
      <c r="D46" s="144"/>
      <c r="E46" s="144"/>
      <c r="F46" s="118"/>
    </row>
    <row r="47" ht="27.75" customHeight="1">
      <c r="B47" s="327" t="s">
        <v>224</v>
      </c>
      <c r="C47" s="144"/>
      <c r="D47" s="144"/>
      <c r="E47" s="144"/>
      <c r="F47" s="118"/>
    </row>
    <row r="48">
      <c r="B48" s="327" t="s">
        <v>225</v>
      </c>
      <c r="C48" s="144"/>
      <c r="D48" s="144"/>
      <c r="E48" s="144"/>
      <c r="F48" s="118"/>
    </row>
    <row r="49" ht="15.75" customHeight="1">
      <c r="B49" s="322" t="s">
        <v>226</v>
      </c>
      <c r="C49" s="144"/>
      <c r="D49" s="144"/>
      <c r="E49" s="144"/>
      <c r="F49" s="118"/>
    </row>
    <row r="50" ht="16.5" customHeight="1">
      <c r="B50" s="330" t="s">
        <v>227</v>
      </c>
      <c r="C50" s="144"/>
      <c r="D50" s="144"/>
      <c r="E50" s="144"/>
      <c r="F50" s="118"/>
    </row>
    <row r="51" ht="16.5" customHeight="1">
      <c r="B51" s="328" t="s">
        <v>228</v>
      </c>
      <c r="C51" s="144"/>
      <c r="D51" s="144"/>
      <c r="E51" s="144"/>
      <c r="F51" s="118"/>
    </row>
    <row r="52" ht="27.75" customHeight="1">
      <c r="B52" s="328" t="s">
        <v>229</v>
      </c>
      <c r="C52" s="144"/>
      <c r="D52" s="144"/>
      <c r="E52" s="144"/>
      <c r="F52" s="118"/>
    </row>
    <row r="53" ht="15.75" customHeight="1"/>
    <row r="54" ht="15.75" customHeight="1"/>
    <row r="55" ht="15.75" customHeight="1"/>
    <row r="56" ht="15.75" customHeight="1"/>
    <row r="57" ht="23.25" customHeight="1"/>
    <row r="58" ht="15.75" customHeight="1"/>
    <row r="59" ht="15.75" customHeight="1">
      <c r="B59" s="331" t="s">
        <v>230</v>
      </c>
      <c r="C59" s="279"/>
      <c r="D59" s="279"/>
      <c r="E59" s="279"/>
      <c r="F59" s="280"/>
    </row>
    <row r="60" ht="15.75" customHeight="1">
      <c r="B60" s="292"/>
      <c r="C60" s="317"/>
      <c r="D60" s="317"/>
      <c r="E60" s="317"/>
      <c r="F60" s="293"/>
    </row>
    <row r="61" ht="39.75" customHeight="1">
      <c r="A61" s="343" t="s">
        <v>231</v>
      </c>
      <c r="B61" s="344" t="s">
        <v>232</v>
      </c>
      <c r="C61" s="343" t="s">
        <v>233</v>
      </c>
      <c r="D61" s="343" t="s">
        <v>234</v>
      </c>
      <c r="E61" s="343" t="s">
        <v>235</v>
      </c>
      <c r="F61" s="343" t="s">
        <v>56</v>
      </c>
      <c r="G61" s="240"/>
      <c r="H61" s="240"/>
    </row>
    <row r="62" ht="16.5" customHeight="1">
      <c r="A62" s="334" t="str">
        <f>'1.CÁL'!D3</f>
        <v/>
      </c>
      <c r="B62" s="335" t="str">
        <f>'1.CÁL'!E3</f>
        <v>#REF!</v>
      </c>
      <c r="C62" s="336">
        <f>'1.CÁL'!L3</f>
        <v>1</v>
      </c>
      <c r="D62" s="337" t="str">
        <f>'1.CÁL'!G3</f>
        <v/>
      </c>
      <c r="E62" s="338" t="str">
        <f>'1.CÁL'!X11</f>
        <v>#DIV/0!</v>
      </c>
      <c r="F62" s="339" t="str">
        <f t="shared" ref="F62:F64" si="2">C62*E62</f>
        <v>#DIV/0!</v>
      </c>
    </row>
    <row r="63" ht="16.5" customHeight="1">
      <c r="A63" s="334" t="str">
        <f>'1.CÁL'!D4</f>
        <v/>
      </c>
      <c r="B63" s="335" t="str">
        <f>'1.CÁL'!E4</f>
        <v>#REF!</v>
      </c>
      <c r="C63" s="336">
        <f>'1.CÁL'!L4</f>
        <v>1</v>
      </c>
      <c r="D63" s="337" t="str">
        <f>'1.CÁL'!G4</f>
        <v/>
      </c>
      <c r="E63" s="338" t="str">
        <f>'1.CÁL'!X12</f>
        <v>#DIV/0!</v>
      </c>
      <c r="F63" s="339" t="str">
        <f t="shared" si="2"/>
        <v>#DIV/0!</v>
      </c>
    </row>
    <row r="64" ht="16.5" customHeight="1">
      <c r="A64" s="334" t="str">
        <f>'1.CÁL'!D5</f>
        <v/>
      </c>
      <c r="B64" s="335" t="str">
        <f>'1.CÁL'!E5</f>
        <v>#REF!</v>
      </c>
      <c r="C64" s="336">
        <f>'1.CÁL'!L5</f>
        <v>1</v>
      </c>
      <c r="D64" s="337" t="str">
        <f>'1.CÁL'!G5</f>
        <v/>
      </c>
      <c r="E64" s="338" t="str">
        <f>'1.CÁL'!X13</f>
        <v>#DIV/0!</v>
      </c>
      <c r="F64" s="339" t="str">
        <f t="shared" si="2"/>
        <v>#DIV/0!</v>
      </c>
    </row>
    <row r="65" ht="15.75" customHeight="1">
      <c r="B65" s="340" t="s">
        <v>118</v>
      </c>
      <c r="C65" s="144"/>
      <c r="D65" s="144"/>
      <c r="E65" s="118"/>
      <c r="F65" s="203">
        <f>SUMIF(F62:F64,"&gt;0")</f>
        <v>0</v>
      </c>
      <c r="G65" s="2" t="str">
        <f>IF(E33=F65,"","no coinciden")</f>
        <v>#DIV/0!</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sheetData>
  <mergeCells count="74">
    <mergeCell ref="B31:C31"/>
    <mergeCell ref="B32:C32"/>
    <mergeCell ref="B33:C33"/>
    <mergeCell ref="B34:D35"/>
    <mergeCell ref="G35:H35"/>
    <mergeCell ref="B36:D36"/>
    <mergeCell ref="B37:D37"/>
    <mergeCell ref="B38:F38"/>
    <mergeCell ref="B39:D39"/>
    <mergeCell ref="B40:F40"/>
    <mergeCell ref="B41:F41"/>
    <mergeCell ref="B42:F42"/>
    <mergeCell ref="B43:F43"/>
    <mergeCell ref="B44:F44"/>
    <mergeCell ref="B52:F52"/>
    <mergeCell ref="B53:F58"/>
    <mergeCell ref="B59:F60"/>
    <mergeCell ref="B65:E65"/>
    <mergeCell ref="G65:H65"/>
    <mergeCell ref="B45:F45"/>
    <mergeCell ref="B46:F46"/>
    <mergeCell ref="B47:F47"/>
    <mergeCell ref="B48:F48"/>
    <mergeCell ref="B49:F49"/>
    <mergeCell ref="B50:F50"/>
    <mergeCell ref="B51:F51"/>
    <mergeCell ref="B2:F2"/>
    <mergeCell ref="B3:D4"/>
    <mergeCell ref="B5:C5"/>
    <mergeCell ref="B6:C6"/>
    <mergeCell ref="B7:D7"/>
    <mergeCell ref="B8:C8"/>
    <mergeCell ref="B11:C11"/>
    <mergeCell ref="B9:C9"/>
    <mergeCell ref="B10:C10"/>
    <mergeCell ref="B12:C12"/>
    <mergeCell ref="B13:C13"/>
    <mergeCell ref="B14:C14"/>
    <mergeCell ref="B15:C15"/>
    <mergeCell ref="B16:C16"/>
    <mergeCell ref="E3:F11"/>
    <mergeCell ref="E15:F15"/>
    <mergeCell ref="E16:F16"/>
    <mergeCell ref="E17:F17"/>
    <mergeCell ref="E18:F18"/>
    <mergeCell ref="E19:F19"/>
    <mergeCell ref="E20:F20"/>
    <mergeCell ref="B17:C17"/>
    <mergeCell ref="B18:C18"/>
    <mergeCell ref="B19:C19"/>
    <mergeCell ref="B20:C20"/>
    <mergeCell ref="B21:C21"/>
    <mergeCell ref="B22:C22"/>
    <mergeCell ref="B23:C23"/>
    <mergeCell ref="E28:F28"/>
    <mergeCell ref="E29:F29"/>
    <mergeCell ref="E30:F30"/>
    <mergeCell ref="E31:F31"/>
    <mergeCell ref="E32:F32"/>
    <mergeCell ref="E33:F33"/>
    <mergeCell ref="E21:F21"/>
    <mergeCell ref="E22:F22"/>
    <mergeCell ref="E23:F23"/>
    <mergeCell ref="E24:F24"/>
    <mergeCell ref="E25:F25"/>
    <mergeCell ref="E26:F26"/>
    <mergeCell ref="E27:F27"/>
    <mergeCell ref="B24:C24"/>
    <mergeCell ref="B25:C25"/>
    <mergeCell ref="B26:C26"/>
    <mergeCell ref="B27:C27"/>
    <mergeCell ref="B28:C28"/>
    <mergeCell ref="B29:C29"/>
    <mergeCell ref="B30:C30"/>
  </mergeCells>
  <conditionalFormatting sqref="D6">
    <cfRule type="expression" dxfId="4" priority="1">
      <formula>D6=44440.0</formula>
    </cfRule>
  </conditionalFormatting>
  <conditionalFormatting sqref="D6">
    <cfRule type="expression" dxfId="4" priority="2">
      <formula>D6=44391.0</formula>
    </cfRule>
  </conditionalFormatting>
  <conditionalFormatting sqref="D6">
    <cfRule type="expression" dxfId="4" priority="3">
      <formula>D6=44470.0</formula>
    </cfRule>
  </conditionalFormatting>
  <conditionalFormatting sqref="D8:D13 E20:F20">
    <cfRule type="containsBlanks" dxfId="4" priority="4">
      <formula>LEN(TRIM(D8))=0</formula>
    </cfRule>
  </conditionalFormatting>
  <conditionalFormatting sqref="D5">
    <cfRule type="containsBlanks" dxfId="4" priority="5">
      <formula>LEN(TRIM(D5))=0</formula>
    </cfRule>
  </conditionalFormatting>
  <conditionalFormatting sqref="G34:G35 H35">
    <cfRule type="containsText" dxfId="19" priority="6" operator="containsText" text="no">
      <formula>NOT(ISERROR(SEARCH(("no"),(G34))))</formula>
    </cfRule>
  </conditionalFormatting>
  <conditionalFormatting sqref="G65:H65">
    <cfRule type="containsText" dxfId="19" priority="7" operator="containsText" text="no">
      <formula>NOT(ISERROR(SEARCH(("no"),(G65))))</formula>
    </cfRule>
  </conditionalFormatting>
  <conditionalFormatting sqref="E39:F39">
    <cfRule type="containsBlanks" dxfId="4" priority="8">
      <formula>LEN(TRIM(E39))=0</formula>
    </cfRule>
  </conditionalFormatting>
  <conditionalFormatting sqref="B2:F2">
    <cfRule type="containsText" dxfId="19" priority="9" operator="containsText" text="NO">
      <formula>NOT(ISERROR(SEARCH(("NO"),(B2))))</formula>
    </cfRule>
  </conditionalFormatting>
  <conditionalFormatting sqref="B2:F2">
    <cfRule type="containsText" dxfId="26" priority="10" operator="containsText" text="CORRECTA">
      <formula>NOT(ISERROR(SEARCH(("CORRECTA"),(B2))))</formula>
    </cfRule>
  </conditionalFormatting>
  <dataValidations>
    <dataValidation type="list" allowBlank="1" sqref="D5">
      <formula1>"01 Denisse De la Cruz,02 Margarita Carpio,03 Gabriela Nuñez,04 Marly Morán,05 Karina Vivas,06 Daniel Benitez,07 Marilyn Cajas,08 María José Rosas,09 Jhonny López,11 Sami Cachinguango,13 Ivis Anchundia,14 Damaris Ñacato,15 Veyda Isvannath "</formula1>
    </dataValidation>
  </dataValidations>
  <printOptions/>
  <pageMargins bottom="0.75" footer="0.0" header="0.0" left="0.7" right="0.7" top="0.75"/>
  <pageSetup scale="94"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86"/>
    <col customWidth="1" min="2" max="2" width="15.86"/>
    <col customWidth="1" min="3" max="3" width="9.43"/>
    <col customWidth="1" min="4" max="4" width="64.43"/>
    <col customWidth="1" min="5" max="5" width="16.57"/>
    <col customWidth="1" min="6" max="6" width="18.71"/>
    <col customWidth="1" min="7" max="8" width="10.71"/>
    <col customWidth="1" min="9" max="9" width="10.86"/>
    <col customWidth="1" min="10" max="10" width="15.86"/>
    <col customWidth="1" min="11" max="11" width="9.43"/>
    <col customWidth="1" min="12" max="12" width="64.43"/>
    <col customWidth="1" min="13" max="13" width="16.57"/>
    <col customWidth="1" min="14" max="14" width="17.57"/>
    <col customWidth="1" min="15" max="16" width="10.71"/>
    <col customWidth="1" min="17" max="17" width="10.86"/>
    <col customWidth="1" min="18" max="18" width="15.86"/>
    <col customWidth="1" min="19" max="19" width="9.43"/>
    <col customWidth="1" min="20" max="20" width="64.43"/>
    <col customWidth="1" min="21" max="21" width="16.57"/>
    <col customWidth="1" min="22" max="22" width="18.57"/>
    <col customWidth="1" min="23" max="25" width="10.71"/>
  </cols>
  <sheetData>
    <row r="1" hidden="1"/>
    <row r="2" hidden="1">
      <c r="B2" s="2" t="str">
        <f>IF(OR('1.CÁL'!$D$30=TRUE,'1.CÁL'!$F$30="OK"),"LIQUIDACIÓN CORRECTA","NO VÁLIDA")</f>
        <v>#DIV/0!</v>
      </c>
      <c r="J2" s="2" t="str">
        <f>IF(OR('1.CÁL'!$D$31=TRUE,'1.CÁL'!$F$31="OK"),"LIQUIDACIÓN CORRECTA","NO VÁLIDA")</f>
        <v>#DIV/0!</v>
      </c>
      <c r="R2" s="2" t="str">
        <f>IF(OR('1.CÁL'!$D$32=TRUE,'1.CÁL'!$F$32="OK"),"LIQUIDACIÓN CORRECTA","NO VÁLIDA")</f>
        <v>#DIV/0!</v>
      </c>
    </row>
    <row r="3" hidden="1"/>
    <row r="4" hidden="1"/>
    <row r="5" hidden="1"/>
    <row r="6" hidden="1"/>
    <row r="7" hidden="1"/>
    <row r="8" hidden="1"/>
    <row r="9" ht="19.5" hidden="1" customHeight="1">
      <c r="B9" s="278" t="s">
        <v>178</v>
      </c>
      <c r="C9" s="279"/>
      <c r="D9" s="280"/>
      <c r="E9" s="345"/>
      <c r="F9" s="280"/>
      <c r="J9" s="278" t="s">
        <v>178</v>
      </c>
      <c r="K9" s="279"/>
      <c r="L9" s="280"/>
      <c r="M9" s="345"/>
      <c r="N9" s="280"/>
      <c r="R9" s="278" t="s">
        <v>178</v>
      </c>
      <c r="S9" s="279"/>
      <c r="T9" s="280"/>
      <c r="U9" s="345"/>
      <c r="V9" s="280"/>
    </row>
    <row r="10" ht="14.25" hidden="1" customHeight="1">
      <c r="B10" s="282"/>
      <c r="D10" s="283"/>
      <c r="E10" s="282"/>
      <c r="F10" s="283"/>
      <c r="J10" s="282"/>
      <c r="L10" s="283"/>
      <c r="M10" s="282"/>
      <c r="N10" s="283"/>
      <c r="R10" s="282"/>
      <c r="T10" s="283"/>
      <c r="U10" s="282"/>
      <c r="V10" s="283"/>
    </row>
    <row r="11" hidden="1">
      <c r="B11" s="292"/>
      <c r="C11" s="317"/>
      <c r="D11" s="293"/>
      <c r="E11" s="282"/>
      <c r="F11" s="283"/>
      <c r="G11" s="286"/>
      <c r="H11" s="286"/>
      <c r="J11" s="292"/>
      <c r="K11" s="317"/>
      <c r="L11" s="293"/>
      <c r="M11" s="282"/>
      <c r="N11" s="283"/>
      <c r="R11" s="292"/>
      <c r="S11" s="317"/>
      <c r="T11" s="293"/>
      <c r="U11" s="282"/>
      <c r="V11" s="283"/>
    </row>
    <row r="12" ht="17.25" hidden="1" customHeight="1">
      <c r="B12" s="284" t="s">
        <v>179</v>
      </c>
      <c r="C12" s="118"/>
      <c r="D12" s="285"/>
      <c r="E12" s="282"/>
      <c r="F12" s="283"/>
      <c r="G12" s="286"/>
      <c r="H12" s="286"/>
      <c r="J12" s="284" t="s">
        <v>179</v>
      </c>
      <c r="K12" s="118"/>
      <c r="L12" s="285"/>
      <c r="M12" s="282"/>
      <c r="N12" s="283"/>
      <c r="R12" s="284" t="s">
        <v>179</v>
      </c>
      <c r="S12" s="118"/>
      <c r="T12" s="285"/>
      <c r="U12" s="282"/>
      <c r="V12" s="283"/>
    </row>
    <row r="13" ht="17.25" hidden="1" customHeight="1">
      <c r="B13" s="287" t="s">
        <v>180</v>
      </c>
      <c r="C13" s="118"/>
      <c r="D13" s="288">
        <f>TODAY()</f>
        <v>46181</v>
      </c>
      <c r="E13" s="282"/>
      <c r="F13" s="283"/>
      <c r="G13" s="286"/>
      <c r="H13" s="286"/>
      <c r="J13" s="287" t="s">
        <v>180</v>
      </c>
      <c r="K13" s="118"/>
      <c r="L13" s="288">
        <f>TODAY()</f>
        <v>46181</v>
      </c>
      <c r="M13" s="282"/>
      <c r="N13" s="283"/>
      <c r="R13" s="287" t="s">
        <v>180</v>
      </c>
      <c r="S13" s="118"/>
      <c r="T13" s="288">
        <f>TODAY()</f>
        <v>46181</v>
      </c>
      <c r="U13" s="282"/>
      <c r="V13" s="283"/>
    </row>
    <row r="14" ht="20.25" hidden="1" customHeight="1">
      <c r="B14" s="346" t="s">
        <v>181</v>
      </c>
      <c r="C14" s="144"/>
      <c r="D14" s="118"/>
      <c r="E14" s="282"/>
      <c r="F14" s="283"/>
      <c r="G14" s="286"/>
      <c r="H14" s="286"/>
      <c r="J14" s="346" t="s">
        <v>181</v>
      </c>
      <c r="K14" s="144"/>
      <c r="L14" s="118"/>
      <c r="M14" s="282"/>
      <c r="N14" s="283"/>
      <c r="R14" s="346" t="s">
        <v>181</v>
      </c>
      <c r="S14" s="144"/>
      <c r="T14" s="118"/>
      <c r="U14" s="282"/>
      <c r="V14" s="283"/>
    </row>
    <row r="15" ht="15.75" hidden="1" customHeight="1">
      <c r="B15" s="284" t="s">
        <v>182</v>
      </c>
      <c r="C15" s="118"/>
      <c r="D15" s="285"/>
      <c r="E15" s="282"/>
      <c r="F15" s="283"/>
      <c r="G15" s="286"/>
      <c r="H15" s="347"/>
      <c r="J15" s="284" t="s">
        <v>182</v>
      </c>
      <c r="K15" s="118"/>
      <c r="L15" s="285"/>
      <c r="M15" s="282"/>
      <c r="N15" s="283"/>
      <c r="R15" s="284" t="s">
        <v>182</v>
      </c>
      <c r="S15" s="118"/>
      <c r="T15" s="285"/>
      <c r="U15" s="282"/>
      <c r="V15" s="283"/>
    </row>
    <row r="16" ht="15.75" hidden="1" customHeight="1">
      <c r="B16" s="284" t="s">
        <v>183</v>
      </c>
      <c r="C16" s="118"/>
      <c r="D16" s="290"/>
      <c r="E16" s="282"/>
      <c r="F16" s="283"/>
      <c r="G16" s="286"/>
      <c r="H16" s="286"/>
      <c r="J16" s="284" t="s">
        <v>183</v>
      </c>
      <c r="K16" s="118"/>
      <c r="L16" s="290"/>
      <c r="M16" s="282"/>
      <c r="N16" s="283"/>
      <c r="R16" s="284" t="s">
        <v>183</v>
      </c>
      <c r="S16" s="118"/>
      <c r="T16" s="290"/>
      <c r="U16" s="282"/>
      <c r="V16" s="283"/>
    </row>
    <row r="17" ht="34.5" hidden="1" customHeight="1">
      <c r="B17" s="284" t="s">
        <v>184</v>
      </c>
      <c r="C17" s="118"/>
      <c r="D17" s="291"/>
      <c r="E17" s="282"/>
      <c r="F17" s="283"/>
      <c r="G17" s="286"/>
      <c r="H17" s="286"/>
      <c r="J17" s="284" t="s">
        <v>184</v>
      </c>
      <c r="K17" s="118"/>
      <c r="L17" s="291"/>
      <c r="M17" s="282"/>
      <c r="N17" s="283"/>
      <c r="R17" s="284" t="s">
        <v>184</v>
      </c>
      <c r="S17" s="118"/>
      <c r="T17" s="291"/>
      <c r="U17" s="282"/>
      <c r="V17" s="283"/>
    </row>
    <row r="18" ht="15.75" hidden="1" customHeight="1">
      <c r="B18" s="284" t="s">
        <v>185</v>
      </c>
      <c r="C18" s="118"/>
      <c r="D18" s="285"/>
      <c r="E18" s="292"/>
      <c r="F18" s="293"/>
      <c r="G18" s="286"/>
      <c r="H18" s="286"/>
      <c r="J18" s="284" t="s">
        <v>185</v>
      </c>
      <c r="K18" s="118"/>
      <c r="L18" s="285"/>
      <c r="M18" s="292"/>
      <c r="N18" s="293"/>
      <c r="R18" s="284" t="s">
        <v>185</v>
      </c>
      <c r="S18" s="118"/>
      <c r="T18" s="285"/>
      <c r="U18" s="292"/>
      <c r="V18" s="293"/>
    </row>
    <row r="19" ht="15.75" hidden="1" customHeight="1">
      <c r="B19" s="284" t="s">
        <v>186</v>
      </c>
      <c r="C19" s="118"/>
      <c r="D19" s="290"/>
      <c r="E19" s="294" t="s">
        <v>187</v>
      </c>
      <c r="F19" s="295">
        <f>'1.CÁL'!Q6/1.1</f>
        <v>0</v>
      </c>
      <c r="G19" s="286"/>
      <c r="H19" s="286"/>
      <c r="J19" s="284" t="s">
        <v>186</v>
      </c>
      <c r="K19" s="118"/>
      <c r="L19" s="290"/>
      <c r="M19" s="294" t="s">
        <v>187</v>
      </c>
      <c r="N19" s="348">
        <f>'1.CÁL'!Q6/1.1</f>
        <v>0</v>
      </c>
      <c r="R19" s="284" t="s">
        <v>186</v>
      </c>
      <c r="S19" s="118"/>
      <c r="T19" s="290"/>
      <c r="U19" s="294" t="s">
        <v>187</v>
      </c>
      <c r="V19" s="295">
        <f>'1.CÁL'!Q6/1.1</f>
        <v>0</v>
      </c>
    </row>
    <row r="20" ht="15.75" hidden="1" customHeight="1">
      <c r="B20" s="284" t="s">
        <v>188</v>
      </c>
      <c r="C20" s="118"/>
      <c r="D20" s="291"/>
      <c r="E20" s="296" t="s">
        <v>189</v>
      </c>
      <c r="F20" s="297">
        <f>'1.CÁL'!K6</f>
        <v>3</v>
      </c>
      <c r="J20" s="284" t="s">
        <v>188</v>
      </c>
      <c r="K20" s="118"/>
      <c r="L20" s="291"/>
      <c r="M20" s="296" t="s">
        <v>189</v>
      </c>
      <c r="N20" s="349">
        <f>'1.CÁL'!K6</f>
        <v>3</v>
      </c>
      <c r="R20" s="284" t="s">
        <v>188</v>
      </c>
      <c r="S20" s="118"/>
      <c r="T20" s="291"/>
      <c r="U20" s="296" t="s">
        <v>189</v>
      </c>
      <c r="V20" s="297">
        <f>'1.CÁL'!K6</f>
        <v>3</v>
      </c>
    </row>
    <row r="21" ht="15.75" hidden="1" customHeight="1">
      <c r="B21" s="287" t="s">
        <v>190</v>
      </c>
      <c r="C21" s="118"/>
      <c r="D21" s="291"/>
      <c r="E21" s="294" t="s">
        <v>191</v>
      </c>
      <c r="F21" s="291"/>
      <c r="J21" s="287" t="s">
        <v>190</v>
      </c>
      <c r="K21" s="118"/>
      <c r="L21" s="291"/>
      <c r="M21" s="294" t="s">
        <v>191</v>
      </c>
      <c r="N21" s="291" t="str">
        <f>'1.CÁL'!AF6</f>
        <v/>
      </c>
      <c r="R21" s="287" t="s">
        <v>190</v>
      </c>
      <c r="S21" s="118"/>
      <c r="T21" s="291"/>
      <c r="U21" s="294" t="s">
        <v>191</v>
      </c>
      <c r="V21" s="291" t="str">
        <f>'1.CÁL'!AJ6</f>
        <v/>
      </c>
    </row>
    <row r="22" hidden="1">
      <c r="B22" s="298" t="s">
        <v>192</v>
      </c>
      <c r="C22" s="299"/>
      <c r="D22" s="300" t="s">
        <v>193</v>
      </c>
      <c r="E22" s="350" t="s">
        <v>194</v>
      </c>
      <c r="F22" s="280"/>
      <c r="J22" s="298" t="s">
        <v>192</v>
      </c>
      <c r="K22" s="299"/>
      <c r="L22" s="300" t="s">
        <v>193</v>
      </c>
      <c r="M22" s="350" t="s">
        <v>194</v>
      </c>
      <c r="N22" s="280"/>
      <c r="R22" s="298" t="s">
        <v>192</v>
      </c>
      <c r="S22" s="299"/>
      <c r="T22" s="300" t="s">
        <v>193</v>
      </c>
      <c r="U22" s="350" t="s">
        <v>194</v>
      </c>
      <c r="V22" s="280"/>
    </row>
    <row r="23" hidden="1">
      <c r="B23" s="301">
        <v>1.0</v>
      </c>
      <c r="C23" s="118"/>
      <c r="D23" s="351" t="s">
        <v>239</v>
      </c>
      <c r="E23" s="302">
        <f>'2.FAC'!C16+'2.FAC'!H16</f>
        <v>0</v>
      </c>
      <c r="F23" s="118"/>
      <c r="J23" s="301">
        <v>1.0</v>
      </c>
      <c r="K23" s="118"/>
      <c r="L23" s="351" t="s">
        <v>239</v>
      </c>
      <c r="M23" s="302">
        <f>'2.FAC'!C21+'2.FAC'!H21</f>
        <v>0</v>
      </c>
      <c r="N23" s="118"/>
      <c r="R23" s="301">
        <v>1.0</v>
      </c>
      <c r="S23" s="118"/>
      <c r="T23" s="351" t="s">
        <v>239</v>
      </c>
      <c r="U23" s="302">
        <f>'2.FAC'!C26+'2.FAC'!H26</f>
        <v>0</v>
      </c>
      <c r="V23" s="118"/>
    </row>
    <row r="24" hidden="1">
      <c r="B24" s="352">
        <v>2.0</v>
      </c>
      <c r="C24" s="118"/>
      <c r="D24" s="285" t="s">
        <v>240</v>
      </c>
      <c r="E24" s="353">
        <f>'2.FAC'!D16+'2.FAC'!E16+'2.FAC'!F16+'2.FAC'!G16+'2.FAC'!I16+'2.FAC'!J16</f>
        <v>0</v>
      </c>
      <c r="F24" s="293"/>
      <c r="J24" s="352">
        <v>2.0</v>
      </c>
      <c r="K24" s="118"/>
      <c r="L24" s="285" t="s">
        <v>240</v>
      </c>
      <c r="M24" s="353">
        <f>'2.FAC'!D21+'2.FAC'!E21+'2.FAC'!F21+'2.FAC'!G21+'2.FAC'!I21+'2.FAC'!J21</f>
        <v>0</v>
      </c>
      <c r="N24" s="293"/>
      <c r="R24" s="352">
        <v>2.0</v>
      </c>
      <c r="S24" s="118"/>
      <c r="T24" s="285" t="s">
        <v>240</v>
      </c>
      <c r="U24" s="353">
        <f>'2.FAC'!D26+'2.FAC'!E26+'2.FAC'!F26+'2.FAC'!G26+'2.FAC'!I26+'2.FAC'!J26</f>
        <v>0</v>
      </c>
      <c r="V24" s="293"/>
    </row>
    <row r="25" hidden="1">
      <c r="B25" s="352">
        <v>3.0</v>
      </c>
      <c r="C25" s="118"/>
      <c r="D25" s="304" t="s">
        <v>241</v>
      </c>
      <c r="E25" s="302" t="str">
        <f>'2.FAC'!L16+'2.FAC'!P16+'2.FAC'!M16+'2.FAC'!Q16+'2.FAC'!R16+'2.FAC'!K16+'2.FAC'!S16+F32</f>
        <v>#DIV/0!</v>
      </c>
      <c r="F25" s="118"/>
      <c r="J25" s="352">
        <v>3.0</v>
      </c>
      <c r="K25" s="118"/>
      <c r="L25" s="304" t="s">
        <v>241</v>
      </c>
      <c r="M25" s="302" t="str">
        <f>'2.FAC'!L21+'2.FAC'!P21+'2.FAC'!M21+'2.FAC'!Q21+'2.FAC'!R21+'2.FAC'!K21+'2.FAC'!S21+N32</f>
        <v>#DIV/0!</v>
      </c>
      <c r="N25" s="118"/>
      <c r="R25" s="352">
        <v>3.0</v>
      </c>
      <c r="S25" s="118"/>
      <c r="T25" s="304" t="s">
        <v>241</v>
      </c>
      <c r="U25" s="302" t="str">
        <f>'2.FAC'!L26+'2.FAC'!P26+'2.FAC'!M26+'2.FAC'!Q26+'2.FAC'!R26+'2.FAC'!K26+'2.FAC'!S26+V32</f>
        <v>#DIV/0!</v>
      </c>
      <c r="V25" s="118"/>
    </row>
    <row r="26" ht="33.75" hidden="1" customHeight="1">
      <c r="B26" s="354"/>
      <c r="C26" s="144"/>
      <c r="D26" s="118"/>
      <c r="E26" s="315" t="s">
        <v>210</v>
      </c>
      <c r="F26" s="316" t="s">
        <v>242</v>
      </c>
      <c r="J26" s="354"/>
      <c r="K26" s="144"/>
      <c r="L26" s="118"/>
      <c r="M26" s="315" t="s">
        <v>210</v>
      </c>
      <c r="N26" s="316" t="s">
        <v>242</v>
      </c>
      <c r="R26" s="354"/>
      <c r="S26" s="144"/>
      <c r="T26" s="118"/>
      <c r="U26" s="315" t="s">
        <v>210</v>
      </c>
      <c r="V26" s="316" t="s">
        <v>242</v>
      </c>
    </row>
    <row r="27" ht="15.75" hidden="1" customHeight="1">
      <c r="B27" s="354" t="s">
        <v>56</v>
      </c>
      <c r="C27" s="144"/>
      <c r="D27" s="118"/>
      <c r="E27" s="318" t="str">
        <f>F27*1.055</f>
        <v>#DIV/0!</v>
      </c>
      <c r="F27" s="355" t="str">
        <f>SUM(E23:F25)</f>
        <v>#DIV/0!</v>
      </c>
      <c r="J27" s="354" t="s">
        <v>56</v>
      </c>
      <c r="K27" s="144"/>
      <c r="L27" s="118"/>
      <c r="M27" s="318" t="str">
        <f>N27*1.055</f>
        <v>#DIV/0!</v>
      </c>
      <c r="N27" s="355" t="str">
        <f>SUM(M23:N25)</f>
        <v>#DIV/0!</v>
      </c>
      <c r="R27" s="354" t="s">
        <v>56</v>
      </c>
      <c r="S27" s="144"/>
      <c r="T27" s="118"/>
      <c r="U27" s="318" t="str">
        <f>V27*1.055</f>
        <v>#DIV/0!</v>
      </c>
      <c r="V27" s="355" t="str">
        <f>SUM(U23:V25)</f>
        <v>#DIV/0!</v>
      </c>
    </row>
    <row r="28" ht="15.75" hidden="1" customHeight="1">
      <c r="B28" s="356"/>
      <c r="C28" s="144"/>
      <c r="D28" s="144"/>
      <c r="E28" s="144"/>
      <c r="F28" s="118"/>
      <c r="J28" s="356"/>
      <c r="K28" s="144"/>
      <c r="L28" s="144"/>
      <c r="M28" s="144"/>
      <c r="N28" s="118"/>
      <c r="R28" s="356"/>
      <c r="S28" s="144"/>
      <c r="T28" s="144"/>
      <c r="U28" s="144"/>
      <c r="V28" s="118"/>
    </row>
    <row r="29" ht="15.75" hidden="1" customHeight="1">
      <c r="B29" s="341" t="s">
        <v>236</v>
      </c>
      <c r="C29" s="144"/>
      <c r="D29" s="118"/>
      <c r="E29" s="318">
        <f t="shared" ref="E29:E30" si="1">F29*1.055</f>
        <v>0</v>
      </c>
      <c r="F29" s="357">
        <f>E23+E24</f>
        <v>0</v>
      </c>
      <c r="G29" s="358"/>
      <c r="J29" s="341" t="s">
        <v>236</v>
      </c>
      <c r="K29" s="144"/>
      <c r="L29" s="118"/>
      <c r="M29" s="318">
        <f t="shared" ref="M29:M30" si="2">N29*1.055</f>
        <v>0</v>
      </c>
      <c r="N29" s="357">
        <f>M23+M24</f>
        <v>0</v>
      </c>
      <c r="R29" s="341" t="s">
        <v>236</v>
      </c>
      <c r="S29" s="144"/>
      <c r="T29" s="118"/>
      <c r="U29" s="318">
        <f t="shared" ref="U29:U30" si="3">V29*1.055</f>
        <v>0</v>
      </c>
      <c r="V29" s="357">
        <f>U23+U24</f>
        <v>0</v>
      </c>
    </row>
    <row r="30" ht="15.75" hidden="1" customHeight="1">
      <c r="B30" s="341" t="s">
        <v>237</v>
      </c>
      <c r="C30" s="144"/>
      <c r="D30" s="118"/>
      <c r="E30" s="318" t="str">
        <f t="shared" si="1"/>
        <v>#DIV/0!</v>
      </c>
      <c r="F30" s="357" t="str">
        <f>E25</f>
        <v>#DIV/0!</v>
      </c>
      <c r="J30" s="341" t="s">
        <v>237</v>
      </c>
      <c r="K30" s="144"/>
      <c r="L30" s="118"/>
      <c r="M30" s="318" t="str">
        <f t="shared" si="2"/>
        <v>#DIV/0!</v>
      </c>
      <c r="N30" s="357" t="str">
        <f>M25</f>
        <v>#DIV/0!</v>
      </c>
      <c r="R30" s="341" t="s">
        <v>237</v>
      </c>
      <c r="S30" s="144"/>
      <c r="T30" s="118"/>
      <c r="U30" s="318" t="str">
        <f t="shared" si="3"/>
        <v>#DIV/0!</v>
      </c>
      <c r="V30" s="357" t="str">
        <f>U25</f>
        <v>#DIV/0!</v>
      </c>
    </row>
    <row r="31" ht="15.75" hidden="1" customHeight="1">
      <c r="B31" s="356" t="s">
        <v>215</v>
      </c>
      <c r="C31" s="144"/>
      <c r="D31" s="144"/>
      <c r="E31" s="144"/>
      <c r="F31" s="118"/>
      <c r="J31" s="356" t="s">
        <v>215</v>
      </c>
      <c r="K31" s="144"/>
      <c r="L31" s="144"/>
      <c r="M31" s="144"/>
      <c r="N31" s="118"/>
      <c r="R31" s="356" t="s">
        <v>215</v>
      </c>
      <c r="S31" s="144"/>
      <c r="T31" s="144"/>
      <c r="U31" s="144"/>
      <c r="V31" s="118"/>
    </row>
    <row r="32" ht="41.25" hidden="1" customHeight="1">
      <c r="B32" s="359"/>
      <c r="C32" s="360" t="s">
        <v>216</v>
      </c>
      <c r="D32" s="118"/>
      <c r="E32" s="361">
        <v>0.006</v>
      </c>
      <c r="F32" s="362" t="str">
        <f>'2.FAC'!T16</f>
        <v>#DIV/0!</v>
      </c>
      <c r="J32" s="359"/>
      <c r="K32" s="360" t="s">
        <v>216</v>
      </c>
      <c r="L32" s="118"/>
      <c r="M32" s="361">
        <v>0.006</v>
      </c>
      <c r="N32" s="362" t="str">
        <f>'2.FAC'!T21</f>
        <v>#DIV/0!</v>
      </c>
      <c r="R32" s="359"/>
      <c r="S32" s="360" t="s">
        <v>216</v>
      </c>
      <c r="T32" s="118"/>
      <c r="U32" s="361">
        <v>0.006</v>
      </c>
      <c r="V32" s="362" t="str">
        <f>'2.FAC'!T26</f>
        <v>#DIV/0!</v>
      </c>
    </row>
    <row r="33" ht="41.25" hidden="1" customHeight="1">
      <c r="B33" s="360" t="s">
        <v>217</v>
      </c>
      <c r="C33" s="144"/>
      <c r="D33" s="144"/>
      <c r="E33" s="144"/>
      <c r="F33" s="118"/>
      <c r="J33" s="360" t="s">
        <v>217</v>
      </c>
      <c r="K33" s="144"/>
      <c r="L33" s="144"/>
      <c r="M33" s="144"/>
      <c r="N33" s="118"/>
      <c r="R33" s="360" t="s">
        <v>217</v>
      </c>
      <c r="S33" s="144"/>
      <c r="T33" s="144"/>
      <c r="U33" s="144"/>
      <c r="V33" s="118"/>
    </row>
    <row r="34" ht="33.75" hidden="1" customHeight="1">
      <c r="B34" s="363" t="s">
        <v>219</v>
      </c>
      <c r="C34" s="144"/>
      <c r="D34" s="144"/>
      <c r="E34" s="144"/>
      <c r="F34" s="118"/>
      <c r="J34" s="363" t="s">
        <v>219</v>
      </c>
      <c r="K34" s="144"/>
      <c r="L34" s="144"/>
      <c r="M34" s="144"/>
      <c r="N34" s="118"/>
      <c r="R34" s="363" t="s">
        <v>219</v>
      </c>
      <c r="S34" s="144"/>
      <c r="T34" s="144"/>
      <c r="U34" s="144"/>
      <c r="V34" s="118"/>
    </row>
    <row r="35" ht="17.25" hidden="1" customHeight="1">
      <c r="B35" s="363" t="s">
        <v>220</v>
      </c>
      <c r="C35" s="144"/>
      <c r="D35" s="144"/>
      <c r="E35" s="144"/>
      <c r="F35" s="118"/>
      <c r="J35" s="363" t="s">
        <v>220</v>
      </c>
      <c r="K35" s="144"/>
      <c r="L35" s="144"/>
      <c r="M35" s="144"/>
      <c r="N35" s="118"/>
      <c r="R35" s="363" t="s">
        <v>220</v>
      </c>
      <c r="S35" s="144"/>
      <c r="T35" s="144"/>
      <c r="U35" s="144"/>
      <c r="V35" s="118"/>
    </row>
    <row r="36" ht="18.75" hidden="1" customHeight="1">
      <c r="B36" s="363" t="s">
        <v>221</v>
      </c>
      <c r="C36" s="144"/>
      <c r="D36" s="144"/>
      <c r="E36" s="144"/>
      <c r="F36" s="118"/>
      <c r="J36" s="363" t="s">
        <v>221</v>
      </c>
      <c r="K36" s="144"/>
      <c r="L36" s="144"/>
      <c r="M36" s="144"/>
      <c r="N36" s="118"/>
      <c r="R36" s="363" t="s">
        <v>221</v>
      </c>
      <c r="S36" s="144"/>
      <c r="T36" s="144"/>
      <c r="U36" s="144"/>
      <c r="V36" s="118"/>
    </row>
    <row r="37" ht="15.75" hidden="1" customHeight="1">
      <c r="B37" s="363" t="s">
        <v>222</v>
      </c>
      <c r="C37" s="144"/>
      <c r="D37" s="144"/>
      <c r="E37" s="144"/>
      <c r="F37" s="118"/>
      <c r="J37" s="363" t="s">
        <v>222</v>
      </c>
      <c r="K37" s="144"/>
      <c r="L37" s="144"/>
      <c r="M37" s="144"/>
      <c r="N37" s="118"/>
      <c r="R37" s="363" t="s">
        <v>222</v>
      </c>
      <c r="S37" s="144"/>
      <c r="T37" s="144"/>
      <c r="U37" s="144"/>
      <c r="V37" s="118"/>
    </row>
    <row r="38" ht="23.25" hidden="1" customHeight="1">
      <c r="A38" s="364"/>
      <c r="B38" s="365" t="s">
        <v>243</v>
      </c>
      <c r="C38" s="144"/>
      <c r="D38" s="144"/>
      <c r="E38" s="144"/>
      <c r="F38" s="118"/>
      <c r="G38" s="226"/>
      <c r="H38" s="226"/>
      <c r="I38" s="364"/>
      <c r="J38" s="365" t="s">
        <v>243</v>
      </c>
      <c r="K38" s="144"/>
      <c r="L38" s="144"/>
      <c r="M38" s="144"/>
      <c r="N38" s="118"/>
      <c r="O38" s="226"/>
      <c r="P38" s="226"/>
      <c r="Q38" s="364"/>
      <c r="R38" s="365" t="s">
        <v>243</v>
      </c>
      <c r="S38" s="144"/>
      <c r="T38" s="144"/>
      <c r="U38" s="144"/>
      <c r="V38" s="118"/>
      <c r="W38" s="226"/>
      <c r="X38" s="226"/>
      <c r="Y38" s="226"/>
    </row>
    <row r="39" ht="23.25" hidden="1" customHeight="1">
      <c r="B39" s="366" t="s">
        <v>223</v>
      </c>
      <c r="C39" s="144"/>
      <c r="D39" s="144"/>
      <c r="E39" s="144"/>
      <c r="F39" s="118"/>
      <c r="J39" s="366" t="s">
        <v>223</v>
      </c>
      <c r="K39" s="144"/>
      <c r="L39" s="144"/>
      <c r="M39" s="144"/>
      <c r="N39" s="118"/>
      <c r="R39" s="366" t="s">
        <v>223</v>
      </c>
      <c r="S39" s="144"/>
      <c r="T39" s="144"/>
      <c r="U39" s="144"/>
      <c r="V39" s="118"/>
    </row>
    <row r="40" ht="15.75" hidden="1" customHeight="1">
      <c r="B40" s="322" t="s">
        <v>226</v>
      </c>
      <c r="C40" s="144"/>
      <c r="D40" s="144"/>
      <c r="E40" s="144"/>
      <c r="F40" s="118"/>
      <c r="J40" s="322" t="s">
        <v>226</v>
      </c>
      <c r="K40" s="144"/>
      <c r="L40" s="144"/>
      <c r="M40" s="144"/>
      <c r="N40" s="118"/>
      <c r="R40" s="322" t="s">
        <v>226</v>
      </c>
      <c r="S40" s="144"/>
      <c r="T40" s="144"/>
      <c r="U40" s="144"/>
      <c r="V40" s="118"/>
    </row>
    <row r="41" ht="15.75" hidden="1" customHeight="1">
      <c r="B41" s="367" t="s">
        <v>227</v>
      </c>
      <c r="C41" s="144"/>
      <c r="D41" s="144"/>
      <c r="E41" s="144"/>
      <c r="F41" s="118"/>
      <c r="J41" s="367" t="s">
        <v>227</v>
      </c>
      <c r="K41" s="144"/>
      <c r="L41" s="144"/>
      <c r="M41" s="144"/>
      <c r="N41" s="118"/>
      <c r="R41" s="367" t="s">
        <v>227</v>
      </c>
      <c r="S41" s="144"/>
      <c r="T41" s="144"/>
      <c r="U41" s="144"/>
      <c r="V41" s="118"/>
    </row>
    <row r="42" ht="31.5" hidden="1" customHeight="1">
      <c r="B42" s="368" t="s">
        <v>228</v>
      </c>
      <c r="C42" s="144"/>
      <c r="D42" s="144"/>
      <c r="E42" s="144"/>
      <c r="F42" s="118"/>
      <c r="J42" s="368" t="s">
        <v>228</v>
      </c>
      <c r="K42" s="144"/>
      <c r="L42" s="144"/>
      <c r="M42" s="144"/>
      <c r="N42" s="118"/>
      <c r="R42" s="368" t="s">
        <v>228</v>
      </c>
      <c r="S42" s="144"/>
      <c r="T42" s="144"/>
      <c r="U42" s="144"/>
      <c r="V42" s="118"/>
    </row>
    <row r="43" ht="27.75" hidden="1" customHeight="1">
      <c r="B43" s="368" t="s">
        <v>229</v>
      </c>
      <c r="C43" s="144"/>
      <c r="D43" s="144"/>
      <c r="E43" s="144"/>
      <c r="F43" s="118"/>
      <c r="J43" s="368" t="s">
        <v>229</v>
      </c>
      <c r="K43" s="144"/>
      <c r="L43" s="144"/>
      <c r="M43" s="144"/>
      <c r="N43" s="118"/>
      <c r="R43" s="368" t="s">
        <v>229</v>
      </c>
      <c r="S43" s="144"/>
      <c r="T43" s="144"/>
      <c r="U43" s="144"/>
      <c r="V43" s="118"/>
    </row>
    <row r="44" ht="15.75" hidden="1" customHeight="1"/>
    <row r="45" ht="15.75" hidden="1" customHeight="1"/>
    <row r="46" ht="15.75" hidden="1" customHeight="1"/>
    <row r="47" ht="15.75" customHeight="1"/>
    <row r="48" ht="15.75" customHeight="1"/>
    <row r="49" ht="15.75" customHeight="1">
      <c r="B49" s="2" t="str">
        <f>B2</f>
        <v>#DIV/0!</v>
      </c>
      <c r="J49" s="2" t="str">
        <f>J2</f>
        <v>#DIV/0!</v>
      </c>
      <c r="R49" s="2" t="str">
        <f>R2</f>
        <v>#DIV/0!</v>
      </c>
    </row>
    <row r="50" ht="15.75" customHeight="1"/>
    <row r="51" ht="15.75" customHeight="1">
      <c r="B51" s="278" t="s">
        <v>178</v>
      </c>
      <c r="C51" s="279"/>
      <c r="D51" s="280"/>
      <c r="E51" s="345"/>
      <c r="F51" s="280"/>
      <c r="J51" s="278" t="s">
        <v>178</v>
      </c>
      <c r="K51" s="279"/>
      <c r="L51" s="280"/>
      <c r="M51" s="345"/>
      <c r="N51" s="280"/>
      <c r="R51" s="278" t="s">
        <v>178</v>
      </c>
      <c r="S51" s="279"/>
      <c r="T51" s="280"/>
      <c r="U51" s="345"/>
      <c r="V51" s="280"/>
    </row>
    <row r="52" ht="15.75" customHeight="1">
      <c r="B52" s="282"/>
      <c r="D52" s="283"/>
      <c r="E52" s="282"/>
      <c r="F52" s="283"/>
      <c r="J52" s="282"/>
      <c r="L52" s="283"/>
      <c r="M52" s="282"/>
      <c r="N52" s="283"/>
      <c r="R52" s="282"/>
      <c r="T52" s="283"/>
      <c r="U52" s="282"/>
      <c r="V52" s="283"/>
    </row>
    <row r="53" ht="15.75" customHeight="1">
      <c r="B53" s="292"/>
      <c r="C53" s="317"/>
      <c r="D53" s="293"/>
      <c r="E53" s="282"/>
      <c r="F53" s="283"/>
      <c r="J53" s="292"/>
      <c r="K53" s="317"/>
      <c r="L53" s="293"/>
      <c r="M53" s="282"/>
      <c r="N53" s="283"/>
      <c r="R53" s="292"/>
      <c r="S53" s="317"/>
      <c r="T53" s="293"/>
      <c r="U53" s="282"/>
      <c r="V53" s="283"/>
    </row>
    <row r="54" ht="15.75" customHeight="1">
      <c r="B54" s="287" t="s">
        <v>244</v>
      </c>
      <c r="C54" s="118"/>
      <c r="D54" s="285"/>
      <c r="E54" s="282"/>
      <c r="F54" s="283"/>
      <c r="J54" s="287" t="s">
        <v>244</v>
      </c>
      <c r="K54" s="118"/>
      <c r="L54" s="285"/>
      <c r="M54" s="282"/>
      <c r="N54" s="283"/>
      <c r="R54" s="287" t="s">
        <v>244</v>
      </c>
      <c r="S54" s="118"/>
      <c r="T54" s="285"/>
      <c r="U54" s="282"/>
      <c r="V54" s="283"/>
    </row>
    <row r="55" ht="15.75" customHeight="1">
      <c r="B55" s="287" t="s">
        <v>180</v>
      </c>
      <c r="C55" s="118"/>
      <c r="D55" s="288">
        <f>TODAY()</f>
        <v>46181</v>
      </c>
      <c r="E55" s="282"/>
      <c r="F55" s="283"/>
      <c r="J55" s="287" t="s">
        <v>180</v>
      </c>
      <c r="K55" s="118"/>
      <c r="L55" s="288">
        <f>TODAY()</f>
        <v>46181</v>
      </c>
      <c r="M55" s="282"/>
      <c r="N55" s="283"/>
      <c r="R55" s="287" t="s">
        <v>180</v>
      </c>
      <c r="S55" s="118"/>
      <c r="T55" s="288">
        <f>TODAY()</f>
        <v>46181</v>
      </c>
      <c r="U55" s="282"/>
      <c r="V55" s="283"/>
    </row>
    <row r="56" ht="15.75" customHeight="1">
      <c r="B56" s="346" t="s">
        <v>181</v>
      </c>
      <c r="C56" s="144"/>
      <c r="D56" s="118"/>
      <c r="E56" s="282"/>
      <c r="F56" s="283"/>
      <c r="J56" s="346" t="s">
        <v>181</v>
      </c>
      <c r="K56" s="144"/>
      <c r="L56" s="118"/>
      <c r="M56" s="282"/>
      <c r="N56" s="283"/>
      <c r="R56" s="346" t="s">
        <v>181</v>
      </c>
      <c r="S56" s="144"/>
      <c r="T56" s="118"/>
      <c r="U56" s="282"/>
      <c r="V56" s="283"/>
    </row>
    <row r="57" ht="15.75" customHeight="1">
      <c r="B57" s="284" t="s">
        <v>182</v>
      </c>
      <c r="C57" s="118"/>
      <c r="D57" s="285"/>
      <c r="E57" s="282"/>
      <c r="F57" s="283"/>
      <c r="J57" s="284" t="s">
        <v>182</v>
      </c>
      <c r="K57" s="118"/>
      <c r="L57" s="285"/>
      <c r="M57" s="282"/>
      <c r="N57" s="283"/>
      <c r="R57" s="284" t="s">
        <v>182</v>
      </c>
      <c r="S57" s="118"/>
      <c r="T57" s="285"/>
      <c r="U57" s="282"/>
      <c r="V57" s="283"/>
    </row>
    <row r="58" ht="15.75" customHeight="1">
      <c r="B58" s="284" t="s">
        <v>183</v>
      </c>
      <c r="C58" s="118"/>
      <c r="D58" s="290"/>
      <c r="E58" s="282"/>
      <c r="F58" s="283"/>
      <c r="J58" s="284" t="s">
        <v>183</v>
      </c>
      <c r="K58" s="118"/>
      <c r="L58" s="290"/>
      <c r="M58" s="282"/>
      <c r="N58" s="283"/>
      <c r="R58" s="284" t="s">
        <v>183</v>
      </c>
      <c r="S58" s="118"/>
      <c r="T58" s="290"/>
      <c r="U58" s="282"/>
      <c r="V58" s="283"/>
    </row>
    <row r="59" ht="15.75" customHeight="1">
      <c r="B59" s="284" t="s">
        <v>184</v>
      </c>
      <c r="C59" s="118"/>
      <c r="D59" s="291"/>
      <c r="E59" s="282"/>
      <c r="F59" s="283"/>
      <c r="J59" s="284" t="s">
        <v>184</v>
      </c>
      <c r="K59" s="118"/>
      <c r="L59" s="291"/>
      <c r="M59" s="282"/>
      <c r="N59" s="283"/>
      <c r="R59" s="284" t="s">
        <v>184</v>
      </c>
      <c r="S59" s="118"/>
      <c r="T59" s="291"/>
      <c r="U59" s="282"/>
      <c r="V59" s="283"/>
    </row>
    <row r="60" ht="15.75" customHeight="1">
      <c r="B60" s="284" t="s">
        <v>185</v>
      </c>
      <c r="C60" s="118"/>
      <c r="D60" s="285"/>
      <c r="E60" s="292"/>
      <c r="F60" s="293"/>
      <c r="J60" s="284" t="s">
        <v>185</v>
      </c>
      <c r="K60" s="118"/>
      <c r="L60" s="285"/>
      <c r="M60" s="292"/>
      <c r="N60" s="293"/>
      <c r="R60" s="284" t="s">
        <v>185</v>
      </c>
      <c r="S60" s="118"/>
      <c r="T60" s="285"/>
      <c r="U60" s="292"/>
      <c r="V60" s="293"/>
    </row>
    <row r="61" ht="15.75" customHeight="1">
      <c r="B61" s="284" t="s">
        <v>186</v>
      </c>
      <c r="C61" s="118"/>
      <c r="D61" s="290"/>
      <c r="E61" s="294" t="s">
        <v>187</v>
      </c>
      <c r="F61" s="295">
        <f>'1.CÁL'!$Q$6/1.1</f>
        <v>0</v>
      </c>
      <c r="J61" s="284" t="s">
        <v>186</v>
      </c>
      <c r="K61" s="118"/>
      <c r="L61" s="290"/>
      <c r="M61" s="294" t="s">
        <v>187</v>
      </c>
      <c r="N61" s="295">
        <f>'1.CÁL'!$Q$6/1.1</f>
        <v>0</v>
      </c>
      <c r="R61" s="284" t="s">
        <v>186</v>
      </c>
      <c r="S61" s="118"/>
      <c r="T61" s="290"/>
      <c r="U61" s="294" t="s">
        <v>187</v>
      </c>
      <c r="V61" s="295">
        <f>'1.CÁL'!$Q$6/1.1</f>
        <v>0</v>
      </c>
    </row>
    <row r="62" ht="15.75" customHeight="1">
      <c r="B62" s="284" t="s">
        <v>188</v>
      </c>
      <c r="C62" s="118"/>
      <c r="D62" s="291"/>
      <c r="E62" s="296" t="s">
        <v>189</v>
      </c>
      <c r="F62" s="297">
        <f>'1.CÁL'!$K$6</f>
        <v>3</v>
      </c>
      <c r="J62" s="284" t="s">
        <v>188</v>
      </c>
      <c r="K62" s="118"/>
      <c r="L62" s="291"/>
      <c r="M62" s="296" t="s">
        <v>189</v>
      </c>
      <c r="N62" s="297">
        <f>'1.CÁL'!$K$6</f>
        <v>3</v>
      </c>
      <c r="R62" s="284" t="s">
        <v>188</v>
      </c>
      <c r="S62" s="118"/>
      <c r="T62" s="291"/>
      <c r="U62" s="296" t="s">
        <v>189</v>
      </c>
      <c r="V62" s="297">
        <f>'1.CÁL'!$K$6</f>
        <v>3</v>
      </c>
    </row>
    <row r="63" ht="15.75" customHeight="1">
      <c r="B63" s="287" t="s">
        <v>190</v>
      </c>
      <c r="C63" s="118"/>
      <c r="D63" s="291"/>
      <c r="E63" s="294" t="s">
        <v>191</v>
      </c>
      <c r="F63" s="348">
        <f>'1.CÁL'!$R$6</f>
        <v>0</v>
      </c>
      <c r="J63" s="287" t="s">
        <v>190</v>
      </c>
      <c r="K63" s="118"/>
      <c r="L63" s="291"/>
      <c r="M63" s="294" t="s">
        <v>191</v>
      </c>
      <c r="N63" s="348">
        <f>'1.CÁL'!$R$6</f>
        <v>0</v>
      </c>
      <c r="R63" s="287" t="s">
        <v>190</v>
      </c>
      <c r="S63" s="118"/>
      <c r="T63" s="291"/>
      <c r="U63" s="294" t="s">
        <v>191</v>
      </c>
      <c r="V63" s="348">
        <f>'1.CÁL'!$R$6</f>
        <v>0</v>
      </c>
    </row>
    <row r="64" ht="15.75" customHeight="1">
      <c r="B64" s="298" t="s">
        <v>192</v>
      </c>
      <c r="C64" s="299"/>
      <c r="D64" s="300" t="s">
        <v>193</v>
      </c>
      <c r="E64" s="350" t="s">
        <v>194</v>
      </c>
      <c r="F64" s="280"/>
      <c r="J64" s="298" t="s">
        <v>192</v>
      </c>
      <c r="K64" s="299"/>
      <c r="L64" s="300" t="s">
        <v>193</v>
      </c>
      <c r="M64" s="350" t="s">
        <v>194</v>
      </c>
      <c r="N64" s="280"/>
      <c r="R64" s="298" t="s">
        <v>192</v>
      </c>
      <c r="S64" s="299"/>
      <c r="T64" s="300" t="s">
        <v>193</v>
      </c>
      <c r="U64" s="350" t="s">
        <v>194</v>
      </c>
      <c r="V64" s="280"/>
    </row>
    <row r="65" ht="15.75" customHeight="1">
      <c r="B65" s="301">
        <v>1.0</v>
      </c>
      <c r="C65" s="118"/>
      <c r="D65" s="369" t="s">
        <v>195</v>
      </c>
      <c r="E65" s="302">
        <f>'2.FAC'!C16+'2.FAC'!E5</f>
        <v>0</v>
      </c>
      <c r="F65" s="118"/>
      <c r="J65" s="301">
        <v>1.0</v>
      </c>
      <c r="K65" s="118"/>
      <c r="L65" s="369" t="s">
        <v>195</v>
      </c>
      <c r="M65" s="302">
        <f>'2.FAC'!C21+'2.FAC'!E5</f>
        <v>0</v>
      </c>
      <c r="N65" s="118"/>
      <c r="R65" s="301">
        <v>1.0</v>
      </c>
      <c r="S65" s="118"/>
      <c r="T65" s="369" t="s">
        <v>195</v>
      </c>
      <c r="U65" s="302">
        <f>'2.FAC'!$C$26+'2.FAC'!E5</f>
        <v>0</v>
      </c>
      <c r="V65" s="118"/>
    </row>
    <row r="66" ht="15.75" customHeight="1">
      <c r="B66" s="352">
        <v>2.0</v>
      </c>
      <c r="C66" s="118"/>
      <c r="D66" s="370" t="s">
        <v>196</v>
      </c>
      <c r="E66" s="353" t="str">
        <f>'2.FAC'!D17+'2.FAC'!J17+'2.FAC'!H17</f>
        <v>#DIV/0!</v>
      </c>
      <c r="F66" s="293"/>
      <c r="J66" s="352">
        <v>2.0</v>
      </c>
      <c r="K66" s="118"/>
      <c r="L66" s="370" t="s">
        <v>196</v>
      </c>
      <c r="M66" s="302" t="str">
        <f>'2.FAC'!D22+'2.FAC'!J22+'2.FAC'!H22</f>
        <v>#DIV/0!</v>
      </c>
      <c r="N66" s="118"/>
      <c r="R66" s="352">
        <v>2.0</v>
      </c>
      <c r="S66" s="118"/>
      <c r="T66" s="370" t="s">
        <v>196</v>
      </c>
      <c r="U66" s="302" t="str">
        <f>'2.FAC'!$D$27+'2.FAC'!J27+'2.FAC'!H27</f>
        <v>#DIV/0!</v>
      </c>
      <c r="V66" s="118"/>
    </row>
    <row r="67" ht="15.75" customHeight="1">
      <c r="B67" s="301">
        <v>3.0</v>
      </c>
      <c r="C67" s="118"/>
      <c r="D67" s="371" t="s">
        <v>197</v>
      </c>
      <c r="E67" s="353" t="str">
        <f>'2.FAC'!E17</f>
        <v>#DIV/0!</v>
      </c>
      <c r="F67" s="293"/>
      <c r="J67" s="301">
        <v>3.0</v>
      </c>
      <c r="K67" s="118"/>
      <c r="L67" s="371" t="s">
        <v>197</v>
      </c>
      <c r="M67" s="302" t="str">
        <f>'2.FAC'!E22</f>
        <v>#DIV/0!</v>
      </c>
      <c r="N67" s="118"/>
      <c r="R67" s="301">
        <v>3.0</v>
      </c>
      <c r="S67" s="118"/>
      <c r="T67" s="371" t="s">
        <v>197</v>
      </c>
      <c r="U67" s="302" t="str">
        <f>'2.FAC'!$E$27</f>
        <v>#DIV/0!</v>
      </c>
      <c r="V67" s="118"/>
    </row>
    <row r="68" ht="15.75" customHeight="1">
      <c r="B68" s="352">
        <v>4.0</v>
      </c>
      <c r="C68" s="118"/>
      <c r="D68" s="370" t="s">
        <v>134</v>
      </c>
      <c r="E68" s="302" t="str">
        <f>'2.FAC'!F17</f>
        <v>#DIV/0!</v>
      </c>
      <c r="F68" s="118"/>
      <c r="J68" s="352">
        <v>4.0</v>
      </c>
      <c r="K68" s="118"/>
      <c r="L68" s="370" t="s">
        <v>134</v>
      </c>
      <c r="M68" s="302" t="str">
        <f>'2.FAC'!F22</f>
        <v>#DIV/0!</v>
      </c>
      <c r="N68" s="118"/>
      <c r="R68" s="352">
        <v>4.0</v>
      </c>
      <c r="S68" s="118"/>
      <c r="T68" s="370" t="s">
        <v>134</v>
      </c>
      <c r="U68" s="302" t="str">
        <f>'2.FAC'!$F$27</f>
        <v>#DIV/0!</v>
      </c>
      <c r="V68" s="118"/>
    </row>
    <row r="69" ht="15.75" customHeight="1">
      <c r="B69" s="301">
        <v>5.0</v>
      </c>
      <c r="C69" s="118"/>
      <c r="D69" s="372" t="s">
        <v>198</v>
      </c>
      <c r="E69" s="373" t="str">
        <f>'2.FAC'!I17</f>
        <v>#DIV/0!</v>
      </c>
      <c r="F69" s="118"/>
      <c r="G69" s="374"/>
      <c r="H69" s="374"/>
      <c r="I69" s="374"/>
      <c r="J69" s="301">
        <v>5.0</v>
      </c>
      <c r="K69" s="118"/>
      <c r="L69" s="372" t="s">
        <v>198</v>
      </c>
      <c r="M69" s="373" t="str">
        <f>'2.FAC'!I22</f>
        <v>#DIV/0!</v>
      </c>
      <c r="N69" s="118"/>
      <c r="O69" s="374"/>
      <c r="P69" s="374"/>
      <c r="Q69" s="374"/>
      <c r="R69" s="301">
        <v>5.0</v>
      </c>
      <c r="S69" s="118"/>
      <c r="T69" s="372" t="s">
        <v>198</v>
      </c>
      <c r="U69" s="373" t="str">
        <f>'2.FAC'!$I$27</f>
        <v>#DIV/0!</v>
      </c>
      <c r="V69" s="118"/>
    </row>
    <row r="70" ht="15.75" customHeight="1">
      <c r="B70" s="352">
        <v>6.0</v>
      </c>
      <c r="C70" s="118"/>
      <c r="D70" s="372" t="s">
        <v>200</v>
      </c>
      <c r="E70" s="373" t="str">
        <f>'2.FAC'!L17+'2.FAC'!M17</f>
        <v>#DIV/0!</v>
      </c>
      <c r="F70" s="118"/>
      <c r="G70" s="375"/>
      <c r="H70" s="374"/>
      <c r="I70" s="374"/>
      <c r="J70" s="301">
        <v>7.0</v>
      </c>
      <c r="K70" s="118"/>
      <c r="L70" s="372" t="s">
        <v>200</v>
      </c>
      <c r="M70" s="373" t="str">
        <f>'2.FAC'!M22+'2.FAC'!L22</f>
        <v>#DIV/0!</v>
      </c>
      <c r="N70" s="118"/>
      <c r="O70" s="374"/>
      <c r="P70" s="374"/>
      <c r="Q70" s="374"/>
      <c r="R70" s="352">
        <v>6.0</v>
      </c>
      <c r="S70" s="118"/>
      <c r="T70" s="372" t="s">
        <v>200</v>
      </c>
      <c r="U70" s="373" t="str">
        <f>'2.FAC'!$L$27+'2.FAC'!$M$27</f>
        <v>#DIV/0!</v>
      </c>
      <c r="V70" s="118"/>
    </row>
    <row r="71" ht="15.75" customHeight="1">
      <c r="B71" s="301">
        <v>7.0</v>
      </c>
      <c r="C71" s="118"/>
      <c r="D71" s="376" t="s">
        <v>245</v>
      </c>
      <c r="E71" s="373" t="str">
        <f>'2.FAC'!N17+'2.FAC'!O17</f>
        <v>#DIV/0!</v>
      </c>
      <c r="F71" s="118"/>
      <c r="G71" s="375"/>
      <c r="H71" s="374"/>
      <c r="I71" s="374"/>
      <c r="J71" s="352">
        <v>8.0</v>
      </c>
      <c r="K71" s="118"/>
      <c r="L71" s="376" t="s">
        <v>245</v>
      </c>
      <c r="M71" s="373" t="str">
        <f>'2.FAC'!N22+'2.FAC'!O22</f>
        <v>#DIV/0!</v>
      </c>
      <c r="N71" s="118"/>
      <c r="O71" s="374"/>
      <c r="P71" s="374"/>
      <c r="Q71" s="374"/>
      <c r="R71" s="301">
        <v>7.0</v>
      </c>
      <c r="S71" s="118"/>
      <c r="T71" s="376" t="s">
        <v>245</v>
      </c>
      <c r="U71" s="373" t="str">
        <f>'2.FAC'!N27+'2.FAC'!O27</f>
        <v>#DIV/0!</v>
      </c>
      <c r="V71" s="118"/>
    </row>
    <row r="72" ht="15.75" customHeight="1">
      <c r="B72" s="352">
        <v>8.0</v>
      </c>
      <c r="C72" s="118"/>
      <c r="D72" s="377" t="s">
        <v>202</v>
      </c>
      <c r="E72" s="373" t="str">
        <f>'2.FAC'!Q17</f>
        <v>#DIV/0!</v>
      </c>
      <c r="F72" s="118"/>
      <c r="G72" s="374"/>
      <c r="H72" s="374"/>
      <c r="I72" s="374"/>
      <c r="J72" s="301">
        <v>9.0</v>
      </c>
      <c r="K72" s="118"/>
      <c r="L72" s="377" t="s">
        <v>202</v>
      </c>
      <c r="M72" s="373" t="str">
        <f>'2.FAC'!Q22</f>
        <v>#DIV/0!</v>
      </c>
      <c r="N72" s="118"/>
      <c r="O72" s="374"/>
      <c r="P72" s="374"/>
      <c r="Q72" s="374"/>
      <c r="R72" s="352">
        <v>8.0</v>
      </c>
      <c r="S72" s="118"/>
      <c r="T72" s="377" t="s">
        <v>202</v>
      </c>
      <c r="U72" s="373" t="str">
        <f>'2.FAC'!$Q$27</f>
        <v>#DIV/0!</v>
      </c>
      <c r="V72" s="118"/>
    </row>
    <row r="73" ht="15.75" customHeight="1">
      <c r="B73" s="301">
        <v>9.0</v>
      </c>
      <c r="C73" s="118"/>
      <c r="D73" s="372" t="s">
        <v>203</v>
      </c>
      <c r="E73" s="373" t="str">
        <f>'2.FAC'!R17</f>
        <v>#DIV/0!</v>
      </c>
      <c r="F73" s="118"/>
      <c r="G73" s="374"/>
      <c r="H73" s="374"/>
      <c r="I73" s="374"/>
      <c r="J73" s="352">
        <v>10.0</v>
      </c>
      <c r="K73" s="118"/>
      <c r="L73" s="372" t="s">
        <v>203</v>
      </c>
      <c r="M73" s="373" t="str">
        <f>'2.FAC'!R22</f>
        <v>#DIV/0!</v>
      </c>
      <c r="N73" s="118"/>
      <c r="O73" s="374"/>
      <c r="P73" s="374"/>
      <c r="Q73" s="374"/>
      <c r="R73" s="301">
        <v>9.0</v>
      </c>
      <c r="S73" s="118"/>
      <c r="T73" s="372" t="s">
        <v>203</v>
      </c>
      <c r="U73" s="373" t="str">
        <f>'2.FAC'!$R$27</f>
        <v>#DIV/0!</v>
      </c>
      <c r="V73" s="118"/>
    </row>
    <row r="74" ht="15.75" customHeight="1">
      <c r="B74" s="352">
        <v>10.0</v>
      </c>
      <c r="C74" s="118"/>
      <c r="D74" s="285" t="s">
        <v>199</v>
      </c>
      <c r="E74" s="373" t="str">
        <f>'2.FAC'!K17</f>
        <v>#DIV/0!</v>
      </c>
      <c r="F74" s="118"/>
      <c r="G74" s="374"/>
      <c r="H74" s="374"/>
      <c r="I74" s="374"/>
      <c r="J74" s="301">
        <v>11.0</v>
      </c>
      <c r="K74" s="118"/>
      <c r="L74" s="285" t="s">
        <v>199</v>
      </c>
      <c r="M74" s="373" t="str">
        <f>'2.FAC'!K22</f>
        <v>#DIV/0!</v>
      </c>
      <c r="N74" s="118"/>
      <c r="O74" s="374"/>
      <c r="P74" s="374"/>
      <c r="Q74" s="374"/>
      <c r="R74" s="352">
        <v>10.0</v>
      </c>
      <c r="S74" s="118"/>
      <c r="T74" s="285" t="s">
        <v>199</v>
      </c>
      <c r="U74" s="373" t="str">
        <f>'2.FAC'!$K$27</f>
        <v>#DIV/0!</v>
      </c>
      <c r="V74" s="118"/>
    </row>
    <row r="75" ht="15.75" customHeight="1">
      <c r="B75" s="301">
        <v>11.0</v>
      </c>
      <c r="C75" s="118"/>
      <c r="D75" s="285" t="s">
        <v>204</v>
      </c>
      <c r="E75" s="373" t="str">
        <f>'2.FAC'!S17</f>
        <v>#DIV/0!</v>
      </c>
      <c r="F75" s="118"/>
      <c r="G75" s="374"/>
      <c r="H75" s="374"/>
      <c r="I75" s="374"/>
      <c r="J75" s="352">
        <v>12.0</v>
      </c>
      <c r="K75" s="118"/>
      <c r="L75" s="285" t="s">
        <v>204</v>
      </c>
      <c r="M75" s="373" t="str">
        <f>'2.FAC'!S22</f>
        <v>#DIV/0!</v>
      </c>
      <c r="N75" s="118"/>
      <c r="O75" s="374"/>
      <c r="P75" s="374"/>
      <c r="Q75" s="374"/>
      <c r="R75" s="301">
        <v>11.0</v>
      </c>
      <c r="S75" s="118"/>
      <c r="T75" s="285" t="s">
        <v>204</v>
      </c>
      <c r="U75" s="373" t="str">
        <f>'2.FAC'!$S$27</f>
        <v>#DIV/0!</v>
      </c>
      <c r="V75" s="118"/>
    </row>
    <row r="76" ht="23.25" customHeight="1">
      <c r="B76" s="378">
        <v>12.0</v>
      </c>
      <c r="C76" s="118"/>
      <c r="D76" s="379" t="s">
        <v>207</v>
      </c>
      <c r="E76" s="310" t="str">
        <f>SUM(E65:F75)+F86</f>
        <v>#DIV/0!</v>
      </c>
      <c r="F76" s="118"/>
      <c r="J76" s="378">
        <v>13.0</v>
      </c>
      <c r="K76" s="118"/>
      <c r="L76" s="379" t="s">
        <v>207</v>
      </c>
      <c r="M76" s="310" t="str">
        <f>SUM(M65:N75)+$N$86</f>
        <v>#DIV/0!</v>
      </c>
      <c r="N76" s="118"/>
      <c r="R76" s="378">
        <v>12.0</v>
      </c>
      <c r="S76" s="118"/>
      <c r="T76" s="379" t="s">
        <v>207</v>
      </c>
      <c r="U76" s="310" t="str">
        <f>SUM(U65:V75)+$V$86</f>
        <v>#DIV/0!</v>
      </c>
      <c r="V76" s="118"/>
    </row>
    <row r="77" ht="15.75" customHeight="1">
      <c r="B77" s="306">
        <v>13.0</v>
      </c>
      <c r="C77" s="118"/>
      <c r="D77" s="380" t="s">
        <v>49</v>
      </c>
      <c r="E77" s="302" t="str">
        <f>'2.FAC'!P17</f>
        <v>#DIV/0!</v>
      </c>
      <c r="F77" s="118"/>
      <c r="J77" s="306">
        <v>14.0</v>
      </c>
      <c r="K77" s="118"/>
      <c r="L77" s="380" t="s">
        <v>49</v>
      </c>
      <c r="M77" s="302" t="str">
        <f>'2.FAC'!P22</f>
        <v>#DIV/0!</v>
      </c>
      <c r="N77" s="118"/>
      <c r="R77" s="306">
        <v>13.0</v>
      </c>
      <c r="S77" s="118"/>
      <c r="T77" s="380" t="s">
        <v>49</v>
      </c>
      <c r="U77" s="302" t="str">
        <f>'2.FAC'!P27</f>
        <v>#DIV/0!</v>
      </c>
      <c r="V77" s="118"/>
    </row>
    <row r="78" ht="15.75" customHeight="1">
      <c r="B78" s="306">
        <v>14.0</v>
      </c>
      <c r="C78" s="118"/>
      <c r="D78" s="380" t="s">
        <v>208</v>
      </c>
      <c r="E78" s="302" t="str">
        <f>'2.FAC'!G17</f>
        <v>#DIV/0!</v>
      </c>
      <c r="F78" s="118"/>
      <c r="J78" s="306">
        <v>15.0</v>
      </c>
      <c r="K78" s="118"/>
      <c r="L78" s="380" t="s">
        <v>208</v>
      </c>
      <c r="M78" s="302" t="str">
        <f>'2.FAC'!G22</f>
        <v>#DIV/0!</v>
      </c>
      <c r="N78" s="118"/>
      <c r="R78" s="306">
        <v>14.0</v>
      </c>
      <c r="S78" s="118"/>
      <c r="T78" s="380" t="s">
        <v>208</v>
      </c>
      <c r="U78" s="302" t="str">
        <f>'2.FAC'!G27</f>
        <v>#DIV/0!</v>
      </c>
      <c r="V78" s="118"/>
    </row>
    <row r="79" ht="17.25" customHeight="1">
      <c r="B79" s="352"/>
      <c r="C79" s="118"/>
      <c r="D79" s="381" t="s">
        <v>56</v>
      </c>
      <c r="E79" s="302" t="str">
        <f>SUM(E76:F78)</f>
        <v>#DIV/0!</v>
      </c>
      <c r="F79" s="118"/>
      <c r="J79" s="352"/>
      <c r="K79" s="118"/>
      <c r="L79" s="381" t="s">
        <v>56</v>
      </c>
      <c r="M79" s="302" t="str">
        <f>SUM(M76:N78)</f>
        <v>#DIV/0!</v>
      </c>
      <c r="N79" s="118"/>
      <c r="R79" s="352"/>
      <c r="S79" s="118"/>
      <c r="T79" s="381" t="s">
        <v>56</v>
      </c>
      <c r="U79" s="302" t="str">
        <f>SUM(U76:V78)</f>
        <v>#DIV/0!</v>
      </c>
      <c r="V79" s="118"/>
    </row>
    <row r="80" ht="9.75" customHeight="1">
      <c r="B80" s="356"/>
      <c r="C80" s="144"/>
      <c r="D80" s="144"/>
      <c r="E80" s="144"/>
      <c r="F80" s="118"/>
      <c r="J80" s="356"/>
      <c r="K80" s="144"/>
      <c r="L80" s="144"/>
      <c r="M80" s="144"/>
      <c r="N80" s="118"/>
      <c r="R80" s="356"/>
      <c r="S80" s="144"/>
      <c r="T80" s="144"/>
      <c r="U80" s="144"/>
      <c r="V80" s="118"/>
    </row>
    <row r="81" ht="28.5" customHeight="1">
      <c r="B81" s="382" t="s">
        <v>209</v>
      </c>
      <c r="C81" s="279"/>
      <c r="D81" s="280"/>
      <c r="E81" s="315" t="s">
        <v>210</v>
      </c>
      <c r="F81" s="316" t="s">
        <v>211</v>
      </c>
      <c r="J81" s="382" t="s">
        <v>209</v>
      </c>
      <c r="K81" s="279"/>
      <c r="L81" s="280"/>
      <c r="M81" s="315" t="s">
        <v>210</v>
      </c>
      <c r="N81" s="316" t="s">
        <v>211</v>
      </c>
      <c r="R81" s="382" t="s">
        <v>209</v>
      </c>
      <c r="S81" s="279"/>
      <c r="T81" s="280"/>
      <c r="U81" s="315" t="s">
        <v>210</v>
      </c>
      <c r="V81" s="316" t="s">
        <v>211</v>
      </c>
    </row>
    <row r="82" ht="15.75" customHeight="1">
      <c r="B82" s="292"/>
      <c r="C82" s="317"/>
      <c r="D82" s="293"/>
      <c r="E82" s="318" t="str">
        <f t="shared" ref="E82:E84" si="4">F82*1.055</f>
        <v>#DIV/0!</v>
      </c>
      <c r="F82" s="355" t="str">
        <f>SUM(E76:F78)</f>
        <v>#DIV/0!</v>
      </c>
      <c r="J82" s="292"/>
      <c r="K82" s="317"/>
      <c r="L82" s="293"/>
      <c r="M82" s="318" t="str">
        <f t="shared" ref="M82:M84" si="5">N82*1.055</f>
        <v>#DIV/0!</v>
      </c>
      <c r="N82" s="355" t="str">
        <f>SUM(M76:N78)</f>
        <v>#DIV/0!</v>
      </c>
      <c r="R82" s="292"/>
      <c r="S82" s="317"/>
      <c r="T82" s="293"/>
      <c r="U82" s="318" t="str">
        <f t="shared" ref="U82:U84" si="6">V82*1.055</f>
        <v>#DIV/0!</v>
      </c>
      <c r="V82" s="355" t="str">
        <f>SUM(U76:V78)</f>
        <v>#DIV/0!</v>
      </c>
    </row>
    <row r="83" ht="15.75" customHeight="1">
      <c r="B83" s="341" t="s">
        <v>236</v>
      </c>
      <c r="C83" s="144"/>
      <c r="D83" s="118"/>
      <c r="E83" s="318" t="str">
        <f t="shared" si="4"/>
        <v>#DIV/0!</v>
      </c>
      <c r="F83" s="321" t="str">
        <f>SUM(E65:F69)+E78</f>
        <v>#DIV/0!</v>
      </c>
      <c r="J83" s="341" t="s">
        <v>236</v>
      </c>
      <c r="K83" s="144"/>
      <c r="L83" s="118"/>
      <c r="M83" s="318" t="str">
        <f t="shared" si="5"/>
        <v>#DIV/0!</v>
      </c>
      <c r="N83" s="321" t="str">
        <f>SUM(M65:N69)+M78</f>
        <v>#DIV/0!</v>
      </c>
      <c r="R83" s="341" t="s">
        <v>236</v>
      </c>
      <c r="S83" s="144"/>
      <c r="T83" s="118"/>
      <c r="U83" s="318" t="str">
        <f t="shared" si="6"/>
        <v>#DIV/0!</v>
      </c>
      <c r="V83" s="321" t="str">
        <f>SUM(U65:V69)+U78</f>
        <v>#DIV/0!</v>
      </c>
    </row>
    <row r="84" ht="15.75" customHeight="1">
      <c r="B84" s="341" t="s">
        <v>237</v>
      </c>
      <c r="C84" s="144"/>
      <c r="D84" s="118"/>
      <c r="E84" s="318" t="str">
        <f t="shared" si="4"/>
        <v>#DIV/0!</v>
      </c>
      <c r="F84" s="321" t="str">
        <f>SUM(E70:F75)+F86+E77</f>
        <v>#DIV/0!</v>
      </c>
      <c r="J84" s="341" t="s">
        <v>237</v>
      </c>
      <c r="K84" s="144"/>
      <c r="L84" s="118"/>
      <c r="M84" s="318" t="str">
        <f t="shared" si="5"/>
        <v>#DIV/0!</v>
      </c>
      <c r="N84" s="321" t="str">
        <f>SUM(M70:N75)+$N$86+M77</f>
        <v>#DIV/0!</v>
      </c>
      <c r="R84" s="341" t="s">
        <v>237</v>
      </c>
      <c r="S84" s="144"/>
      <c r="T84" s="118"/>
      <c r="U84" s="318" t="str">
        <f t="shared" si="6"/>
        <v>#DIV/0!</v>
      </c>
      <c r="V84" s="321" t="str">
        <f>SUM(U70:V75)+$V$86+U77</f>
        <v>#DIV/0!</v>
      </c>
    </row>
    <row r="85" ht="15.75" customHeight="1">
      <c r="B85" s="356" t="s">
        <v>215</v>
      </c>
      <c r="C85" s="144"/>
      <c r="D85" s="144"/>
      <c r="E85" s="144"/>
      <c r="F85" s="118"/>
      <c r="J85" s="356" t="s">
        <v>215</v>
      </c>
      <c r="K85" s="144"/>
      <c r="L85" s="144"/>
      <c r="M85" s="144"/>
      <c r="N85" s="118"/>
      <c r="R85" s="356" t="s">
        <v>215</v>
      </c>
      <c r="S85" s="144"/>
      <c r="T85" s="144"/>
      <c r="U85" s="144"/>
      <c r="V85" s="118"/>
    </row>
    <row r="86" ht="15.75" customHeight="1">
      <c r="B86" s="359"/>
      <c r="C86" s="383" t="s">
        <v>246</v>
      </c>
      <c r="D86" s="118"/>
      <c r="E86" s="361">
        <v>0.006</v>
      </c>
      <c r="F86" s="384" t="str">
        <f>'2.FAC'!T17</f>
        <v>#DIV/0!</v>
      </c>
      <c r="J86" s="359"/>
      <c r="K86" s="383" t="s">
        <v>246</v>
      </c>
      <c r="L86" s="118"/>
      <c r="M86" s="361">
        <v>0.006</v>
      </c>
      <c r="N86" s="384" t="str">
        <f>'2.FAC'!T22</f>
        <v>#DIV/0!</v>
      </c>
      <c r="R86" s="359"/>
      <c r="S86" s="383" t="s">
        <v>246</v>
      </c>
      <c r="T86" s="118"/>
      <c r="U86" s="361">
        <v>0.006</v>
      </c>
      <c r="V86" s="384" t="str">
        <f>'2.FAC'!T27</f>
        <v>#DIV/0!</v>
      </c>
    </row>
    <row r="87" ht="15.75" customHeight="1">
      <c r="B87" s="360" t="s">
        <v>217</v>
      </c>
      <c r="C87" s="144"/>
      <c r="D87" s="144"/>
      <c r="E87" s="144"/>
      <c r="F87" s="118"/>
      <c r="J87" s="360" t="s">
        <v>217</v>
      </c>
      <c r="K87" s="144"/>
      <c r="L87" s="144"/>
      <c r="M87" s="144"/>
      <c r="N87" s="118"/>
      <c r="R87" s="360" t="s">
        <v>217</v>
      </c>
      <c r="S87" s="144"/>
      <c r="T87" s="144"/>
      <c r="U87" s="144"/>
      <c r="V87" s="118"/>
    </row>
    <row r="88" ht="15.75" customHeight="1">
      <c r="B88" s="363" t="s">
        <v>219</v>
      </c>
      <c r="C88" s="144"/>
      <c r="D88" s="144"/>
      <c r="E88" s="144"/>
      <c r="F88" s="118"/>
      <c r="J88" s="363" t="s">
        <v>219</v>
      </c>
      <c r="K88" s="144"/>
      <c r="L88" s="144"/>
      <c r="M88" s="144"/>
      <c r="N88" s="118"/>
      <c r="R88" s="363" t="s">
        <v>219</v>
      </c>
      <c r="S88" s="144"/>
      <c r="T88" s="144"/>
      <c r="U88" s="144"/>
      <c r="V88" s="118"/>
    </row>
    <row r="89" ht="15.75" customHeight="1">
      <c r="B89" s="363" t="s">
        <v>220</v>
      </c>
      <c r="C89" s="144"/>
      <c r="D89" s="144"/>
      <c r="E89" s="144"/>
      <c r="F89" s="118"/>
      <c r="J89" s="363" t="s">
        <v>220</v>
      </c>
      <c r="K89" s="144"/>
      <c r="L89" s="144"/>
      <c r="M89" s="144"/>
      <c r="N89" s="118"/>
      <c r="R89" s="363" t="s">
        <v>220</v>
      </c>
      <c r="S89" s="144"/>
      <c r="T89" s="144"/>
      <c r="U89" s="144"/>
      <c r="V89" s="118"/>
    </row>
    <row r="90" ht="15.75" customHeight="1">
      <c r="B90" s="363" t="s">
        <v>221</v>
      </c>
      <c r="C90" s="144"/>
      <c r="D90" s="144"/>
      <c r="E90" s="144"/>
      <c r="F90" s="118"/>
      <c r="J90" s="363" t="s">
        <v>221</v>
      </c>
      <c r="K90" s="144"/>
      <c r="L90" s="144"/>
      <c r="M90" s="144"/>
      <c r="N90" s="118"/>
      <c r="R90" s="363" t="s">
        <v>221</v>
      </c>
      <c r="S90" s="144"/>
      <c r="T90" s="144"/>
      <c r="U90" s="144"/>
      <c r="V90" s="118"/>
    </row>
    <row r="91" ht="15.75" customHeight="1">
      <c r="B91" s="363" t="s">
        <v>222</v>
      </c>
      <c r="C91" s="144"/>
      <c r="D91" s="144"/>
      <c r="E91" s="144"/>
      <c r="F91" s="118"/>
      <c r="J91" s="363" t="s">
        <v>222</v>
      </c>
      <c r="K91" s="144"/>
      <c r="L91" s="144"/>
      <c r="M91" s="144"/>
      <c r="N91" s="118"/>
      <c r="R91" s="363" t="s">
        <v>222</v>
      </c>
      <c r="S91" s="144"/>
      <c r="T91" s="144"/>
      <c r="U91" s="144"/>
      <c r="V91" s="118"/>
    </row>
    <row r="92" ht="15.75" customHeight="1">
      <c r="B92" s="385" t="s">
        <v>224</v>
      </c>
      <c r="C92" s="144"/>
      <c r="D92" s="144"/>
      <c r="E92" s="144"/>
      <c r="F92" s="118"/>
      <c r="J92" s="385" t="s">
        <v>224</v>
      </c>
      <c r="K92" s="144"/>
      <c r="L92" s="144"/>
      <c r="M92" s="144"/>
      <c r="N92" s="118"/>
      <c r="R92" s="385" t="s">
        <v>224</v>
      </c>
      <c r="S92" s="144"/>
      <c r="T92" s="144"/>
      <c r="U92" s="144"/>
      <c r="V92" s="118"/>
    </row>
    <row r="93" ht="15.75" customHeight="1">
      <c r="B93" s="366" t="s">
        <v>223</v>
      </c>
      <c r="C93" s="144"/>
      <c r="D93" s="144"/>
      <c r="E93" s="144"/>
      <c r="F93" s="118"/>
      <c r="J93" s="366" t="s">
        <v>223</v>
      </c>
      <c r="K93" s="144"/>
      <c r="L93" s="144"/>
      <c r="M93" s="144"/>
      <c r="N93" s="118"/>
      <c r="R93" s="366" t="s">
        <v>223</v>
      </c>
      <c r="S93" s="144"/>
      <c r="T93" s="144"/>
      <c r="U93" s="144"/>
      <c r="V93" s="118"/>
    </row>
    <row r="94" ht="15.75" customHeight="1">
      <c r="B94" s="322" t="s">
        <v>226</v>
      </c>
      <c r="C94" s="144"/>
      <c r="D94" s="144"/>
      <c r="E94" s="144"/>
      <c r="F94" s="118"/>
      <c r="J94" s="322" t="s">
        <v>226</v>
      </c>
      <c r="K94" s="144"/>
      <c r="L94" s="144"/>
      <c r="M94" s="144"/>
      <c r="N94" s="118"/>
      <c r="R94" s="322" t="s">
        <v>226</v>
      </c>
      <c r="S94" s="144"/>
      <c r="T94" s="144"/>
      <c r="U94" s="144"/>
      <c r="V94" s="118"/>
    </row>
    <row r="95" ht="15.75" customHeight="1">
      <c r="B95" s="367" t="s">
        <v>227</v>
      </c>
      <c r="C95" s="144"/>
      <c r="D95" s="144"/>
      <c r="E95" s="144"/>
      <c r="F95" s="118"/>
      <c r="J95" s="367" t="s">
        <v>227</v>
      </c>
      <c r="K95" s="144"/>
      <c r="L95" s="144"/>
      <c r="M95" s="144"/>
      <c r="N95" s="118"/>
      <c r="R95" s="367" t="s">
        <v>227</v>
      </c>
      <c r="S95" s="144"/>
      <c r="T95" s="144"/>
      <c r="U95" s="144"/>
      <c r="V95" s="118"/>
    </row>
    <row r="96" ht="15.75" customHeight="1">
      <c r="B96" s="368" t="s">
        <v>228</v>
      </c>
      <c r="C96" s="144"/>
      <c r="D96" s="144"/>
      <c r="E96" s="144"/>
      <c r="F96" s="118"/>
      <c r="J96" s="368" t="s">
        <v>228</v>
      </c>
      <c r="K96" s="144"/>
      <c r="L96" s="144"/>
      <c r="M96" s="144"/>
      <c r="N96" s="118"/>
      <c r="R96" s="368" t="s">
        <v>228</v>
      </c>
      <c r="S96" s="144"/>
      <c r="T96" s="144"/>
      <c r="U96" s="144"/>
      <c r="V96" s="118"/>
    </row>
    <row r="97" ht="15.75" customHeight="1">
      <c r="B97" s="368" t="s">
        <v>229</v>
      </c>
      <c r="C97" s="144"/>
      <c r="D97" s="144"/>
      <c r="E97" s="144"/>
      <c r="F97" s="118"/>
      <c r="J97" s="368" t="s">
        <v>229</v>
      </c>
      <c r="K97" s="144"/>
      <c r="L97" s="144"/>
      <c r="M97" s="144"/>
      <c r="N97" s="118"/>
      <c r="R97" s="368" t="s">
        <v>229</v>
      </c>
      <c r="S97" s="144"/>
      <c r="T97" s="144"/>
      <c r="U97" s="144"/>
      <c r="V97" s="118"/>
    </row>
    <row r="98" ht="15.75" customHeight="1"/>
    <row r="99" ht="15.75" customHeight="1"/>
    <row r="100" ht="15.75" customHeight="1"/>
    <row r="101" ht="15.75" customHeight="1"/>
    <row r="102" ht="15.75" customHeight="1"/>
    <row r="103" ht="15.75" customHeight="1"/>
    <row r="104" ht="15.75" customHeight="1"/>
    <row r="105" ht="15.75" customHeight="1"/>
    <row r="106" ht="15.75" customHeight="1">
      <c r="B106" s="331" t="s">
        <v>230</v>
      </c>
      <c r="C106" s="279"/>
      <c r="D106" s="279"/>
      <c r="E106" s="279"/>
      <c r="F106" s="280"/>
      <c r="J106" s="331" t="s">
        <v>230</v>
      </c>
      <c r="K106" s="279"/>
      <c r="L106" s="279"/>
      <c r="M106" s="279"/>
      <c r="N106" s="280"/>
      <c r="R106" s="331" t="s">
        <v>230</v>
      </c>
      <c r="S106" s="279"/>
      <c r="T106" s="279"/>
      <c r="U106" s="279"/>
      <c r="V106" s="280"/>
    </row>
    <row r="107" ht="15.75" customHeight="1">
      <c r="B107" s="292"/>
      <c r="C107" s="317"/>
      <c r="D107" s="317"/>
      <c r="E107" s="317"/>
      <c r="F107" s="293"/>
      <c r="J107" s="292"/>
      <c r="K107" s="317"/>
      <c r="L107" s="317"/>
      <c r="M107" s="317"/>
      <c r="N107" s="293"/>
      <c r="R107" s="292"/>
      <c r="S107" s="317"/>
      <c r="T107" s="317"/>
      <c r="U107" s="317"/>
      <c r="V107" s="293"/>
    </row>
    <row r="108" ht="46.5" customHeight="1">
      <c r="A108" s="343" t="s">
        <v>231</v>
      </c>
      <c r="B108" s="344" t="s">
        <v>232</v>
      </c>
      <c r="C108" s="343" t="s">
        <v>233</v>
      </c>
      <c r="D108" s="343" t="s">
        <v>234</v>
      </c>
      <c r="E108" s="343" t="s">
        <v>235</v>
      </c>
      <c r="F108" s="343" t="s">
        <v>56</v>
      </c>
      <c r="G108" s="240"/>
      <c r="H108" s="240"/>
      <c r="I108" s="343" t="s">
        <v>231</v>
      </c>
      <c r="J108" s="344" t="s">
        <v>232</v>
      </c>
      <c r="K108" s="343" t="s">
        <v>233</v>
      </c>
      <c r="L108" s="343" t="s">
        <v>234</v>
      </c>
      <c r="M108" s="343" t="s">
        <v>235</v>
      </c>
      <c r="N108" s="343" t="s">
        <v>56</v>
      </c>
      <c r="O108" s="240"/>
      <c r="P108" s="240"/>
      <c r="Q108" s="343" t="s">
        <v>231</v>
      </c>
      <c r="R108" s="344" t="s">
        <v>232</v>
      </c>
      <c r="S108" s="343" t="s">
        <v>233</v>
      </c>
      <c r="T108" s="343" t="s">
        <v>234</v>
      </c>
      <c r="U108" s="343" t="s">
        <v>235</v>
      </c>
      <c r="V108" s="343" t="s">
        <v>56</v>
      </c>
      <c r="W108" s="240"/>
      <c r="X108" s="240"/>
      <c r="Y108" s="240"/>
    </row>
    <row r="109" ht="16.5" customHeight="1">
      <c r="A109" s="386" t="str">
        <f>'1.CÁL'!D3</f>
        <v/>
      </c>
      <c r="B109" s="335" t="str">
        <f>'1.CÁL'!E3</f>
        <v>#REF!</v>
      </c>
      <c r="C109" s="336">
        <f>'1.CÁL'!L3</f>
        <v>1</v>
      </c>
      <c r="D109" s="337" t="str">
        <f>'1.CÁL'!G3</f>
        <v/>
      </c>
      <c r="E109" s="338" t="str">
        <f>(('1.CÁL'!C11*'1.CÁL'!$E$30/'1.CÁL'!$C$14)/'1.CÁL'!L3)</f>
        <v>#DIV/0!</v>
      </c>
      <c r="F109" s="339" t="str">
        <f t="shared" ref="F109:F111" si="7">E109*C109</f>
        <v>#DIV/0!</v>
      </c>
      <c r="I109" s="386" t="str">
        <f>'1.CÁL'!D3</f>
        <v/>
      </c>
      <c r="J109" s="335" t="str">
        <f>'1.CÁL'!E3</f>
        <v>#REF!</v>
      </c>
      <c r="K109" s="336">
        <f>'1.CÁL'!L3</f>
        <v>1</v>
      </c>
      <c r="L109" s="337" t="str">
        <f>'1.CÁL'!G3</f>
        <v/>
      </c>
      <c r="M109" s="339" t="str">
        <f>(('1.CÁL'!C11*'1.CÁL'!$E$31/'1.CÁL'!$C$14)/'1.CÁL'!L3)</f>
        <v>#DIV/0!</v>
      </c>
      <c r="N109" s="339" t="str">
        <f t="shared" ref="N109:N111" si="8">M109*K109</f>
        <v>#DIV/0!</v>
      </c>
      <c r="Q109" s="386" t="str">
        <f>'1.CÁL'!D3</f>
        <v/>
      </c>
      <c r="R109" s="335" t="str">
        <f>'1.CÁL'!E3</f>
        <v>#REF!</v>
      </c>
      <c r="S109" s="336">
        <f>'1.CÁL'!L3</f>
        <v>1</v>
      </c>
      <c r="T109" s="337" t="str">
        <f>'1.CÁL'!G3</f>
        <v/>
      </c>
      <c r="U109" s="339" t="str">
        <f>(('1.CÁL'!C11*'1.CÁL'!$E$32/'1.CÁL'!$C$14)/'1.CÁL'!L3)</f>
        <v>#DIV/0!</v>
      </c>
      <c r="V109" s="339" t="str">
        <f t="shared" ref="V109:V111" si="9">U109*S109</f>
        <v>#DIV/0!</v>
      </c>
    </row>
    <row r="110" ht="16.5" customHeight="1">
      <c r="A110" s="386" t="str">
        <f>'1.CÁL'!D4</f>
        <v/>
      </c>
      <c r="B110" s="335" t="str">
        <f>'1.CÁL'!E4</f>
        <v>#REF!</v>
      </c>
      <c r="C110" s="336">
        <f>'1.CÁL'!L4</f>
        <v>1</v>
      </c>
      <c r="D110" s="337" t="str">
        <f>'1.CÁL'!G4</f>
        <v/>
      </c>
      <c r="E110" s="338" t="str">
        <f>(('1.CÁL'!C12*'1.CÁL'!$E$30/'1.CÁL'!$C$14)/'1.CÁL'!L4)</f>
        <v>#DIV/0!</v>
      </c>
      <c r="F110" s="339" t="str">
        <f t="shared" si="7"/>
        <v>#DIV/0!</v>
      </c>
      <c r="I110" s="386" t="str">
        <f>'1.CÁL'!D4</f>
        <v/>
      </c>
      <c r="J110" s="335" t="str">
        <f>'1.CÁL'!E4</f>
        <v>#REF!</v>
      </c>
      <c r="K110" s="336">
        <f>'1.CÁL'!L4</f>
        <v>1</v>
      </c>
      <c r="L110" s="337" t="str">
        <f>'1.CÁL'!G4</f>
        <v/>
      </c>
      <c r="M110" s="339" t="str">
        <f>(('1.CÁL'!C12*'1.CÁL'!$E$31/'1.CÁL'!$C$14)/'1.CÁL'!L4)</f>
        <v>#DIV/0!</v>
      </c>
      <c r="N110" s="339" t="str">
        <f t="shared" si="8"/>
        <v>#DIV/0!</v>
      </c>
      <c r="Q110" s="386" t="str">
        <f>'1.CÁL'!D4</f>
        <v/>
      </c>
      <c r="R110" s="335" t="str">
        <f>'1.CÁL'!E4</f>
        <v>#REF!</v>
      </c>
      <c r="S110" s="336">
        <f>'1.CÁL'!L4</f>
        <v>1</v>
      </c>
      <c r="T110" s="337" t="str">
        <f>'1.CÁL'!G4</f>
        <v/>
      </c>
      <c r="U110" s="339" t="str">
        <f>(('1.CÁL'!C12*'1.CÁL'!$E$32/'1.CÁL'!$C$14)/'1.CÁL'!L4)</f>
        <v>#DIV/0!</v>
      </c>
      <c r="V110" s="339" t="str">
        <f t="shared" si="9"/>
        <v>#DIV/0!</v>
      </c>
    </row>
    <row r="111" ht="16.5" customHeight="1">
      <c r="A111" s="386" t="str">
        <f>'1.CÁL'!D5</f>
        <v/>
      </c>
      <c r="B111" s="335" t="str">
        <f>'1.CÁL'!E5</f>
        <v>#REF!</v>
      </c>
      <c r="C111" s="336">
        <f>'1.CÁL'!L5</f>
        <v>1</v>
      </c>
      <c r="D111" s="337" t="str">
        <f>'1.CÁL'!G5</f>
        <v/>
      </c>
      <c r="E111" s="338" t="str">
        <f>(('1.CÁL'!C13*'1.CÁL'!$E$30/'1.CÁL'!$C$14)/'1.CÁL'!L5)</f>
        <v>#DIV/0!</v>
      </c>
      <c r="F111" s="339" t="str">
        <f t="shared" si="7"/>
        <v>#DIV/0!</v>
      </c>
      <c r="I111" s="386" t="str">
        <f>'1.CÁL'!D5</f>
        <v/>
      </c>
      <c r="J111" s="335" t="str">
        <f>'1.CÁL'!E5</f>
        <v>#REF!</v>
      </c>
      <c r="K111" s="336">
        <f>'1.CÁL'!L5</f>
        <v>1</v>
      </c>
      <c r="L111" s="337" t="str">
        <f>'1.CÁL'!G5</f>
        <v/>
      </c>
      <c r="M111" s="339" t="str">
        <f>(('1.CÁL'!C13*'1.CÁL'!$E$31/'1.CÁL'!$C$14)/'1.CÁL'!L5)</f>
        <v>#DIV/0!</v>
      </c>
      <c r="N111" s="339" t="str">
        <f t="shared" si="8"/>
        <v>#DIV/0!</v>
      </c>
      <c r="Q111" s="386" t="str">
        <f>'1.CÁL'!D5</f>
        <v/>
      </c>
      <c r="R111" s="335" t="str">
        <f>'1.CÁL'!E5</f>
        <v>#REF!</v>
      </c>
      <c r="S111" s="336">
        <f>'1.CÁL'!L5</f>
        <v>1</v>
      </c>
      <c r="T111" s="337" t="str">
        <f>'1.CÁL'!G5</f>
        <v/>
      </c>
      <c r="U111" s="339" t="str">
        <f>(('1.CÁL'!C13*'1.CÁL'!$E$32/'1.CÁL'!$C$14)/'1.CÁL'!L5)</f>
        <v>#DIV/0!</v>
      </c>
      <c r="V111" s="339" t="str">
        <f t="shared" si="9"/>
        <v>#DIV/0!</v>
      </c>
    </row>
    <row r="112" ht="15.75" customHeight="1">
      <c r="B112" s="387" t="s">
        <v>118</v>
      </c>
      <c r="C112" s="144"/>
      <c r="D112" s="144"/>
      <c r="E112" s="118"/>
      <c r="F112" s="388">
        <f>SUMIF(F109:F111,"&gt;0")</f>
        <v>0</v>
      </c>
      <c r="J112" s="387" t="s">
        <v>118</v>
      </c>
      <c r="K112" s="144"/>
      <c r="L112" s="144"/>
      <c r="M112" s="118"/>
      <c r="N112" s="388">
        <f>SUMIF(N109:N111,"&gt;0")</f>
        <v>0</v>
      </c>
      <c r="R112" s="387" t="s">
        <v>118</v>
      </c>
      <c r="S112" s="144"/>
      <c r="T112" s="144"/>
      <c r="U112" s="118"/>
      <c r="V112" s="388">
        <f>SUMIF(V109:V111,"&gt;0")</f>
        <v>0</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313">
    <mergeCell ref="J73:K73"/>
    <mergeCell ref="J74:K74"/>
    <mergeCell ref="J66:K66"/>
    <mergeCell ref="J67:K67"/>
    <mergeCell ref="J68:K68"/>
    <mergeCell ref="J69:K69"/>
    <mergeCell ref="J70:K70"/>
    <mergeCell ref="J71:K71"/>
    <mergeCell ref="J72:K72"/>
    <mergeCell ref="J34:N34"/>
    <mergeCell ref="J35:N35"/>
    <mergeCell ref="J36:N36"/>
    <mergeCell ref="J37:N37"/>
    <mergeCell ref="J38:N38"/>
    <mergeCell ref="J39:N39"/>
    <mergeCell ref="J40:N40"/>
    <mergeCell ref="J55:K55"/>
    <mergeCell ref="J56:L56"/>
    <mergeCell ref="J57:K57"/>
    <mergeCell ref="J58:K58"/>
    <mergeCell ref="J41:N41"/>
    <mergeCell ref="J42:N42"/>
    <mergeCell ref="J43:N43"/>
    <mergeCell ref="J49:N49"/>
    <mergeCell ref="J51:L53"/>
    <mergeCell ref="M51:N60"/>
    <mergeCell ref="J54:K54"/>
    <mergeCell ref="J59:K59"/>
    <mergeCell ref="J60:K60"/>
    <mergeCell ref="J61:K61"/>
    <mergeCell ref="J62:K62"/>
    <mergeCell ref="J63:K63"/>
    <mergeCell ref="J64:K64"/>
    <mergeCell ref="J65:K65"/>
    <mergeCell ref="M71:N71"/>
    <mergeCell ref="M72:N72"/>
    <mergeCell ref="M73:N73"/>
    <mergeCell ref="M74:N74"/>
    <mergeCell ref="M64:N64"/>
    <mergeCell ref="M65:N65"/>
    <mergeCell ref="M66:N66"/>
    <mergeCell ref="M67:N67"/>
    <mergeCell ref="M68:N68"/>
    <mergeCell ref="M69:N69"/>
    <mergeCell ref="M70:N70"/>
    <mergeCell ref="E24:F24"/>
    <mergeCell ref="E25:F25"/>
    <mergeCell ref="B21:C21"/>
    <mergeCell ref="B22:C22"/>
    <mergeCell ref="E22:F22"/>
    <mergeCell ref="B23:C23"/>
    <mergeCell ref="E23:F23"/>
    <mergeCell ref="B24:C24"/>
    <mergeCell ref="B25:C25"/>
    <mergeCell ref="B26:D26"/>
    <mergeCell ref="B27:D27"/>
    <mergeCell ref="B28:F28"/>
    <mergeCell ref="B29:D29"/>
    <mergeCell ref="G29:G30"/>
    <mergeCell ref="B30:D30"/>
    <mergeCell ref="B31:F31"/>
    <mergeCell ref="C32:D32"/>
    <mergeCell ref="B33:F33"/>
    <mergeCell ref="B34:F34"/>
    <mergeCell ref="B35:F35"/>
    <mergeCell ref="B36:F36"/>
    <mergeCell ref="B37:F37"/>
    <mergeCell ref="B38:F38"/>
    <mergeCell ref="B51:D53"/>
    <mergeCell ref="B54:C54"/>
    <mergeCell ref="B55:C55"/>
    <mergeCell ref="B56:D56"/>
    <mergeCell ref="B57:C57"/>
    <mergeCell ref="B58:C58"/>
    <mergeCell ref="B39:F39"/>
    <mergeCell ref="B40:F40"/>
    <mergeCell ref="B41:F41"/>
    <mergeCell ref="B42:F42"/>
    <mergeCell ref="B43:F43"/>
    <mergeCell ref="B49:F49"/>
    <mergeCell ref="E51:F60"/>
    <mergeCell ref="E64:F64"/>
    <mergeCell ref="E65:F65"/>
    <mergeCell ref="E66:F66"/>
    <mergeCell ref="E67:F67"/>
    <mergeCell ref="E68:F68"/>
    <mergeCell ref="E69:F69"/>
    <mergeCell ref="E70:F70"/>
    <mergeCell ref="B17:C17"/>
    <mergeCell ref="J17:K17"/>
    <mergeCell ref="B18:C18"/>
    <mergeCell ref="J18:K18"/>
    <mergeCell ref="B19:C19"/>
    <mergeCell ref="J19:K19"/>
    <mergeCell ref="B20:C20"/>
    <mergeCell ref="J20:K20"/>
    <mergeCell ref="J21:K21"/>
    <mergeCell ref="J9:L11"/>
    <mergeCell ref="J12:K12"/>
    <mergeCell ref="B13:C13"/>
    <mergeCell ref="J13:K13"/>
    <mergeCell ref="B14:D14"/>
    <mergeCell ref="J14:L14"/>
    <mergeCell ref="B15:C15"/>
    <mergeCell ref="J15:K15"/>
    <mergeCell ref="B16:C16"/>
    <mergeCell ref="J16:K16"/>
    <mergeCell ref="J30:L30"/>
    <mergeCell ref="K32:L32"/>
    <mergeCell ref="J22:K22"/>
    <mergeCell ref="J23:K23"/>
    <mergeCell ref="J24:K24"/>
    <mergeCell ref="J25:K25"/>
    <mergeCell ref="J26:L26"/>
    <mergeCell ref="J27:L27"/>
    <mergeCell ref="J29:L29"/>
    <mergeCell ref="B2:F8"/>
    <mergeCell ref="J2:N8"/>
    <mergeCell ref="R2:V8"/>
    <mergeCell ref="B9:D11"/>
    <mergeCell ref="E9:F18"/>
    <mergeCell ref="M9:N18"/>
    <mergeCell ref="B12:C12"/>
    <mergeCell ref="R9:T11"/>
    <mergeCell ref="U9:V18"/>
    <mergeCell ref="R12:S12"/>
    <mergeCell ref="R13:S13"/>
    <mergeCell ref="R14:T14"/>
    <mergeCell ref="R15:S15"/>
    <mergeCell ref="R16:S16"/>
    <mergeCell ref="U22:V22"/>
    <mergeCell ref="U23:V23"/>
    <mergeCell ref="U24:V24"/>
    <mergeCell ref="U25:V25"/>
    <mergeCell ref="R17:S17"/>
    <mergeCell ref="R18:S18"/>
    <mergeCell ref="R19:S19"/>
    <mergeCell ref="R20:S20"/>
    <mergeCell ref="R21:S21"/>
    <mergeCell ref="R22:S22"/>
    <mergeCell ref="R23:S23"/>
    <mergeCell ref="M22:N22"/>
    <mergeCell ref="M23:N23"/>
    <mergeCell ref="M24:N24"/>
    <mergeCell ref="M25:N25"/>
    <mergeCell ref="J28:N28"/>
    <mergeCell ref="J31:N31"/>
    <mergeCell ref="J33:N33"/>
    <mergeCell ref="R40:V40"/>
    <mergeCell ref="R41:V41"/>
    <mergeCell ref="R24:S24"/>
    <mergeCell ref="R25:S25"/>
    <mergeCell ref="R26:T26"/>
    <mergeCell ref="R27:T27"/>
    <mergeCell ref="R28:V28"/>
    <mergeCell ref="R29:T29"/>
    <mergeCell ref="R30:T30"/>
    <mergeCell ref="B59:C59"/>
    <mergeCell ref="B60:C60"/>
    <mergeCell ref="B61:C61"/>
    <mergeCell ref="B62:C62"/>
    <mergeCell ref="B63:C63"/>
    <mergeCell ref="B64:C64"/>
    <mergeCell ref="B65:C65"/>
    <mergeCell ref="B73:C73"/>
    <mergeCell ref="B74:C74"/>
    <mergeCell ref="B75:C75"/>
    <mergeCell ref="B76:C76"/>
    <mergeCell ref="B77:C77"/>
    <mergeCell ref="B78:C78"/>
    <mergeCell ref="B79:C79"/>
    <mergeCell ref="B66:C66"/>
    <mergeCell ref="B67:C67"/>
    <mergeCell ref="B68:C68"/>
    <mergeCell ref="B69:C69"/>
    <mergeCell ref="B70:C70"/>
    <mergeCell ref="B71:C71"/>
    <mergeCell ref="B72:C72"/>
    <mergeCell ref="R66:S66"/>
    <mergeCell ref="R67:S67"/>
    <mergeCell ref="R68:S68"/>
    <mergeCell ref="R69:S69"/>
    <mergeCell ref="R70:S70"/>
    <mergeCell ref="R71:S71"/>
    <mergeCell ref="R72:S72"/>
    <mergeCell ref="R77:S77"/>
    <mergeCell ref="R78:S78"/>
    <mergeCell ref="R79:S79"/>
    <mergeCell ref="R73:S73"/>
    <mergeCell ref="R74:S74"/>
    <mergeCell ref="J75:K75"/>
    <mergeCell ref="M75:N75"/>
    <mergeCell ref="R75:S75"/>
    <mergeCell ref="M76:N76"/>
    <mergeCell ref="R76:S76"/>
    <mergeCell ref="J76:K76"/>
    <mergeCell ref="J77:K77"/>
    <mergeCell ref="M77:N77"/>
    <mergeCell ref="J78:K78"/>
    <mergeCell ref="M78:N78"/>
    <mergeCell ref="J79:K79"/>
    <mergeCell ref="M79:N79"/>
    <mergeCell ref="J80:N80"/>
    <mergeCell ref="J81:L82"/>
    <mergeCell ref="J83:L83"/>
    <mergeCell ref="J84:L84"/>
    <mergeCell ref="J85:N85"/>
    <mergeCell ref="K86:L86"/>
    <mergeCell ref="J87:N87"/>
    <mergeCell ref="J95:N95"/>
    <mergeCell ref="J96:N96"/>
    <mergeCell ref="J97:N97"/>
    <mergeCell ref="J98:N105"/>
    <mergeCell ref="J106:N107"/>
    <mergeCell ref="J112:M112"/>
    <mergeCell ref="J88:N88"/>
    <mergeCell ref="J89:N89"/>
    <mergeCell ref="J90:N90"/>
    <mergeCell ref="J91:N91"/>
    <mergeCell ref="J92:N92"/>
    <mergeCell ref="J93:N93"/>
    <mergeCell ref="J94:N94"/>
    <mergeCell ref="E71:F71"/>
    <mergeCell ref="E72:F72"/>
    <mergeCell ref="E73:F73"/>
    <mergeCell ref="E74:F74"/>
    <mergeCell ref="E75:F75"/>
    <mergeCell ref="E76:F76"/>
    <mergeCell ref="E77:F77"/>
    <mergeCell ref="E78:F78"/>
    <mergeCell ref="E79:F79"/>
    <mergeCell ref="B80:F80"/>
    <mergeCell ref="B81:D82"/>
    <mergeCell ref="B83:D83"/>
    <mergeCell ref="B84:D84"/>
    <mergeCell ref="B85:F85"/>
    <mergeCell ref="B93:F93"/>
    <mergeCell ref="B94:F94"/>
    <mergeCell ref="B95:F95"/>
    <mergeCell ref="B96:F96"/>
    <mergeCell ref="B97:F97"/>
    <mergeCell ref="B98:F105"/>
    <mergeCell ref="B106:F107"/>
    <mergeCell ref="B112:E112"/>
    <mergeCell ref="C86:D86"/>
    <mergeCell ref="B87:F87"/>
    <mergeCell ref="B88:F88"/>
    <mergeCell ref="B89:F89"/>
    <mergeCell ref="B90:F90"/>
    <mergeCell ref="B91:F91"/>
    <mergeCell ref="B92:F92"/>
    <mergeCell ref="U77:V77"/>
    <mergeCell ref="U78:V78"/>
    <mergeCell ref="U79:V79"/>
    <mergeCell ref="R80:V80"/>
    <mergeCell ref="R81:T82"/>
    <mergeCell ref="R83:T83"/>
    <mergeCell ref="R84:T84"/>
    <mergeCell ref="R85:V85"/>
    <mergeCell ref="S86:T86"/>
    <mergeCell ref="R87:V87"/>
    <mergeCell ref="R88:V88"/>
    <mergeCell ref="R89:V89"/>
    <mergeCell ref="R90:V90"/>
    <mergeCell ref="R91:V91"/>
    <mergeCell ref="R106:V107"/>
    <mergeCell ref="R112:U112"/>
    <mergeCell ref="R92:V92"/>
    <mergeCell ref="R93:V93"/>
    <mergeCell ref="R94:V94"/>
    <mergeCell ref="R95:V95"/>
    <mergeCell ref="R96:V96"/>
    <mergeCell ref="R97:V97"/>
    <mergeCell ref="R98:V105"/>
    <mergeCell ref="R31:V31"/>
    <mergeCell ref="S32:T32"/>
    <mergeCell ref="R33:V33"/>
    <mergeCell ref="R34:V34"/>
    <mergeCell ref="R35:V35"/>
    <mergeCell ref="R36:V36"/>
    <mergeCell ref="R37:V37"/>
    <mergeCell ref="R54:S54"/>
    <mergeCell ref="R55:S55"/>
    <mergeCell ref="R56:T56"/>
    <mergeCell ref="R57:S57"/>
    <mergeCell ref="R38:V38"/>
    <mergeCell ref="R39:V39"/>
    <mergeCell ref="R42:V42"/>
    <mergeCell ref="R43:V43"/>
    <mergeCell ref="R49:V49"/>
    <mergeCell ref="R51:T53"/>
    <mergeCell ref="R60:S60"/>
    <mergeCell ref="R58:S58"/>
    <mergeCell ref="R59:S59"/>
    <mergeCell ref="R61:S61"/>
    <mergeCell ref="R62:S62"/>
    <mergeCell ref="R63:S63"/>
    <mergeCell ref="R64:S64"/>
    <mergeCell ref="R65:S65"/>
    <mergeCell ref="U51:V60"/>
    <mergeCell ref="U64:V64"/>
    <mergeCell ref="U65:V65"/>
    <mergeCell ref="U66:V66"/>
    <mergeCell ref="U67:V67"/>
    <mergeCell ref="U68:V68"/>
    <mergeCell ref="U69:V69"/>
    <mergeCell ref="U70:V70"/>
    <mergeCell ref="U71:V71"/>
    <mergeCell ref="U72:V72"/>
    <mergeCell ref="U73:V73"/>
    <mergeCell ref="U74:V74"/>
    <mergeCell ref="U75:V75"/>
    <mergeCell ref="U76:V76"/>
  </mergeCells>
  <conditionalFormatting sqref="B49:F49 J49:N49 R49:V49">
    <cfRule type="containsText" dxfId="27" priority="1" operator="containsText" text="CORRECTA">
      <formula>NOT(ISERROR(SEARCH(("CORRECTA"),(B49))))</formula>
    </cfRule>
  </conditionalFormatting>
  <conditionalFormatting sqref="B2 J2 R2 B49:F49 J49:N49 R49:V49">
    <cfRule type="containsText" dxfId="19" priority="2" operator="containsText" text="NO">
      <formula>NOT(ISERROR(SEARCH(("NO"),(B2))))</formula>
    </cfRule>
  </conditionalFormatting>
  <conditionalFormatting sqref="D13 L13 T13 D55 L55 T55">
    <cfRule type="expression" dxfId="4" priority="3">
      <formula>D13=44440.0</formula>
    </cfRule>
  </conditionalFormatting>
  <conditionalFormatting sqref="D13 L13 T13 D55 L55 T55">
    <cfRule type="expression" dxfId="4" priority="4">
      <formula>D13=44391.0</formula>
    </cfRule>
  </conditionalFormatting>
  <conditionalFormatting sqref="D15:D20 L15:L20 T15:T20 D54 L54 T54">
    <cfRule type="containsBlanks" dxfId="4" priority="5">
      <formula>LEN(TRIM(D15))=0</formula>
    </cfRule>
  </conditionalFormatting>
  <conditionalFormatting sqref="D12 L12 T12 D54 L54 T54">
    <cfRule type="containsBlanks" dxfId="4" priority="6">
      <formula>LEN(TRIM(D12))=0</formula>
    </cfRule>
  </conditionalFormatting>
  <conditionalFormatting sqref="E24:F25 M24:N25 U24:V25">
    <cfRule type="containsBlanks" dxfId="4" priority="7">
      <formula>LEN(TRIM(E24))=0</formula>
    </cfRule>
  </conditionalFormatting>
  <conditionalFormatting sqref="B2:F8 J2 R2 B49 J49 R49">
    <cfRule type="containsText" dxfId="26" priority="8" operator="containsText" text="CORRECTA">
      <formula>NOT(ISERROR(SEARCH(("CORRECTA"),(B2))))</formula>
    </cfRule>
  </conditionalFormatting>
  <conditionalFormatting sqref="B2:F8 J2 R2 B49 J49 R49">
    <cfRule type="containsText" dxfId="28" priority="9" operator="containsText" text="NO">
      <formula>NOT(ISERROR(SEARCH(("NO"),(B2))))</formula>
    </cfRule>
  </conditionalFormatting>
  <dataValidations>
    <dataValidation type="list" allowBlank="1" sqref="D54 L54 T54">
      <formula1>"01 Denisse De la Cruz,02 Margarita Carpio,03 Gabriela Nuñez,04 Marly Morán,05 Karina Vivas,06 Daniel Benitez,07 Marilyn Cajas,08 María José Rosas,09 Jhonny López,11 Sami Cachinguango,13 Ivis Anchundia,14 Damaris Ñacato,15 Veyda Isvannath "</formula1>
    </dataValidation>
    <dataValidation type="list" allowBlank="1" sqref="D12 L12 T12">
      <formula1>"01 Denisse De la Cruz,02 Margarita  Carpio,03 Lizeth Villarroel,04 Marly Morán,05 Lisbeth Vivas,06 Daniel Benitez,07 Karina Procel,08 Carlos Castro,09 Sebastián Bernal,10 Nicolás Vacacela,11 Sami Cachinguango"</formula1>
    </dataValidation>
  </dataValidations>
  <printOptions/>
  <pageMargins bottom="0.75" footer="0.0" header="0.0" left="0.7" right="0.7" top="0.75"/>
  <pageSetup fitToHeight="0"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6.0"/>
    <col customWidth="1" min="2" max="3" width="11.57"/>
    <col customWidth="1" min="4" max="4" width="53.43"/>
    <col customWidth="1" min="5" max="6" width="16.57"/>
    <col customWidth="1" min="7" max="8" width="10.71"/>
  </cols>
  <sheetData>
    <row r="2" ht="35.25" customHeight="1">
      <c r="B2" s="2" t="str">
        <f>IF(OR('1.CÁL'!$D$29=TRUE,'1.CÁL'!$F$29="OK"),"LIQUIDACIÓN CORRECTA","NO VÁLIDA")</f>
        <v>#DIV/0!</v>
      </c>
    </row>
    <row r="3" ht="15.75" customHeight="1">
      <c r="B3" s="278" t="s">
        <v>178</v>
      </c>
      <c r="C3" s="279"/>
      <c r="D3" s="280"/>
      <c r="E3" s="281"/>
      <c r="F3" s="280"/>
    </row>
    <row r="4" ht="15.75" customHeight="1">
      <c r="B4" s="282"/>
      <c r="D4" s="283"/>
      <c r="E4" s="282"/>
      <c r="F4" s="283"/>
    </row>
    <row r="5" ht="15.75" customHeight="1">
      <c r="B5" s="284" t="s">
        <v>179</v>
      </c>
      <c r="C5" s="118"/>
      <c r="D5" s="285"/>
      <c r="E5" s="282"/>
      <c r="F5" s="283"/>
      <c r="G5" s="286"/>
    </row>
    <row r="6" ht="15.75" customHeight="1">
      <c r="B6" s="287" t="s">
        <v>180</v>
      </c>
      <c r="C6" s="118"/>
      <c r="D6" s="389">
        <f>TODAY()</f>
        <v>46181</v>
      </c>
      <c r="E6" s="282"/>
      <c r="F6" s="283"/>
      <c r="G6" s="286"/>
    </row>
    <row r="7" ht="15.0" customHeight="1">
      <c r="B7" s="287" t="s">
        <v>247</v>
      </c>
      <c r="C7" s="118"/>
      <c r="D7" s="390">
        <f>TODAY()+7</f>
        <v>46188</v>
      </c>
      <c r="E7" s="282"/>
      <c r="F7" s="283"/>
      <c r="G7" s="286"/>
    </row>
    <row r="8" ht="15.0" customHeight="1">
      <c r="B8" s="298" t="s">
        <v>181</v>
      </c>
      <c r="C8" s="144"/>
      <c r="D8" s="118"/>
      <c r="E8" s="282"/>
      <c r="F8" s="283"/>
      <c r="G8" s="286"/>
    </row>
    <row r="9" ht="15.0" customHeight="1">
      <c r="B9" s="284" t="s">
        <v>182</v>
      </c>
      <c r="C9" s="118"/>
      <c r="D9" s="285"/>
      <c r="E9" s="282"/>
      <c r="F9" s="283"/>
      <c r="G9" s="286"/>
    </row>
    <row r="10" ht="15.0" customHeight="1">
      <c r="B10" s="284" t="s">
        <v>183</v>
      </c>
      <c r="C10" s="118"/>
      <c r="D10" s="290"/>
      <c r="E10" s="282"/>
      <c r="F10" s="283"/>
      <c r="G10" s="286"/>
    </row>
    <row r="11" ht="29.25" customHeight="1">
      <c r="B11" s="284" t="s">
        <v>184</v>
      </c>
      <c r="C11" s="118"/>
      <c r="D11" s="291"/>
      <c r="E11" s="282"/>
      <c r="F11" s="283"/>
      <c r="G11" s="286"/>
    </row>
    <row r="12" ht="14.25" customHeight="1">
      <c r="B12" s="284" t="s">
        <v>185</v>
      </c>
      <c r="C12" s="118"/>
      <c r="D12" s="285"/>
      <c r="E12" s="391" t="s">
        <v>248</v>
      </c>
      <c r="F12" s="13" t="s">
        <v>249</v>
      </c>
      <c r="G12" s="286"/>
    </row>
    <row r="13" ht="14.25" customHeight="1">
      <c r="B13" s="284" t="s">
        <v>186</v>
      </c>
      <c r="C13" s="118"/>
      <c r="D13" s="290"/>
      <c r="E13" s="294" t="s">
        <v>187</v>
      </c>
      <c r="F13" s="392">
        <f>'1.CÁL'!Q6/1.1</f>
        <v>0</v>
      </c>
      <c r="G13" s="286"/>
    </row>
    <row r="14" ht="14.25" customHeight="1">
      <c r="B14" s="284" t="s">
        <v>188</v>
      </c>
      <c r="C14" s="118"/>
      <c r="D14" s="291"/>
      <c r="E14" s="296" t="s">
        <v>189</v>
      </c>
      <c r="F14" s="393">
        <f>'1.CÁL'!K6</f>
        <v>3</v>
      </c>
    </row>
    <row r="15" ht="14.25" customHeight="1">
      <c r="B15" s="287" t="s">
        <v>190</v>
      </c>
      <c r="C15" s="118"/>
      <c r="D15" s="291"/>
      <c r="E15" s="294" t="s">
        <v>191</v>
      </c>
      <c r="F15" s="392">
        <f>'1.CÁL'!R6</f>
        <v>0</v>
      </c>
    </row>
    <row r="16">
      <c r="B16" s="394"/>
      <c r="C16" s="394"/>
      <c r="D16" s="394"/>
      <c r="E16" s="395"/>
      <c r="F16" s="395"/>
      <c r="G16" s="2"/>
    </row>
    <row r="17">
      <c r="B17" s="298" t="s">
        <v>192</v>
      </c>
      <c r="C17" s="299"/>
      <c r="D17" s="300" t="s">
        <v>193</v>
      </c>
      <c r="E17" s="298" t="s">
        <v>194</v>
      </c>
      <c r="F17" s="396" t="s">
        <v>49</v>
      </c>
    </row>
    <row r="18">
      <c r="B18" s="306">
        <v>1.0</v>
      </c>
      <c r="C18" s="118"/>
      <c r="D18" s="397" t="s">
        <v>250</v>
      </c>
      <c r="E18" s="355">
        <f t="shared" ref="E18:F18" si="1">SUM(E19)</f>
        <v>0</v>
      </c>
      <c r="F18" s="355">
        <f t="shared" si="1"/>
        <v>0</v>
      </c>
    </row>
    <row r="19">
      <c r="B19" s="398">
        <v>1.1</v>
      </c>
      <c r="C19" s="118"/>
      <c r="D19" s="399" t="str">
        <f>'3. LCL D'!B1</f>
        <v>VALOR USD</v>
      </c>
      <c r="E19" s="400">
        <f>'3. LCL D'!B7</f>
        <v>0</v>
      </c>
      <c r="F19" s="399">
        <f>'3. LCL D'!B6</f>
        <v>0</v>
      </c>
    </row>
    <row r="20">
      <c r="B20" s="394"/>
      <c r="C20" s="394"/>
      <c r="D20" s="394"/>
      <c r="E20" s="395"/>
      <c r="F20" s="395"/>
      <c r="G20" s="2"/>
    </row>
    <row r="21">
      <c r="B21" s="401">
        <v>2.0</v>
      </c>
      <c r="C21" s="118"/>
      <c r="D21" s="397" t="s">
        <v>251</v>
      </c>
      <c r="E21" s="355">
        <f t="shared" ref="E21:F21" si="2">SUM(E22:E28)</f>
        <v>911</v>
      </c>
      <c r="F21" s="355">
        <f t="shared" si="2"/>
        <v>130.5</v>
      </c>
    </row>
    <row r="22">
      <c r="B22" s="402">
        <v>2.1</v>
      </c>
      <c r="C22" s="118"/>
      <c r="D22" s="399" t="str">
        <f>'3. LCL D'!H1</f>
        <v>VERIFICACION DEL PROVEEDOR NO</v>
      </c>
      <c r="E22" s="400">
        <f>'3. LCL D'!H5</f>
        <v>0</v>
      </c>
      <c r="F22" s="399">
        <f>'3. LCL D'!H6</f>
        <v>0</v>
      </c>
    </row>
    <row r="23">
      <c r="B23" s="402">
        <v>2.2</v>
      </c>
      <c r="C23" s="118"/>
      <c r="D23" s="399" t="str">
        <f>'3. LCL D'!C1</f>
        <v>COSTO DE EXPORTACION (EXW A FOB)</v>
      </c>
      <c r="E23" s="400">
        <f>'3. LCL D'!C7</f>
        <v>0</v>
      </c>
      <c r="F23" s="399">
        <f>'3. LCL D'!C6</f>
        <v>0</v>
      </c>
    </row>
    <row r="24">
      <c r="B24" s="402">
        <v>2.3</v>
      </c>
      <c r="C24" s="118"/>
      <c r="D24" s="399" t="str">
        <f>'3. LCL D'!D1&amp;" $"&amp;E24/F13&amp;" W/M" </f>
        <v>#DIV/0!</v>
      </c>
      <c r="E24" s="400">
        <f>'3. LCL D'!D7</f>
        <v>41</v>
      </c>
      <c r="F24" s="399">
        <f>'3. LCL D'!D6</f>
        <v>0</v>
      </c>
    </row>
    <row r="25">
      <c r="B25" s="402">
        <v>2.4</v>
      </c>
      <c r="C25" s="118"/>
      <c r="D25" s="399" t="str">
        <f>'3. LCL D'!E1</f>
        <v>SEGURO</v>
      </c>
      <c r="E25" s="400">
        <f>'3. LCL D'!E5</f>
        <v>30</v>
      </c>
      <c r="F25" s="400">
        <f>'3. LCL D'!E6</f>
        <v>4.5</v>
      </c>
    </row>
    <row r="26" ht="15.75" customHeight="1">
      <c r="B26" s="402">
        <v>2.5</v>
      </c>
      <c r="C26" s="118"/>
      <c r="D26" s="399" t="str">
        <f>'3. LCL D'!O1</f>
        <v>SERVICIOS LOGISTICOS</v>
      </c>
      <c r="E26" s="400">
        <f>'3. LCL D'!O5</f>
        <v>180</v>
      </c>
      <c r="F26" s="400">
        <f>'3. LCL D'!O6</f>
        <v>27</v>
      </c>
    </row>
    <row r="27" ht="15.75" customHeight="1">
      <c r="B27" s="402">
        <v>2.6</v>
      </c>
      <c r="C27" s="118"/>
      <c r="D27" s="399" t="str">
        <f>'3. LCL D'!P1</f>
        <v>GASTOS LOCALES</v>
      </c>
      <c r="E27" s="400">
        <f>'3. LCL D'!P5</f>
        <v>380</v>
      </c>
      <c r="F27" s="400">
        <f>'3. LCL D'!P6</f>
        <v>57</v>
      </c>
    </row>
    <row r="28" ht="15.75" customHeight="1">
      <c r="B28" s="402">
        <v>2.7</v>
      </c>
      <c r="C28" s="118"/>
      <c r="D28" s="399" t="str">
        <f>'3. LCL D'!Q1</f>
        <v>AGENTE DE ADUANA</v>
      </c>
      <c r="E28" s="400">
        <f>'3. LCL D'!Q5</f>
        <v>280</v>
      </c>
      <c r="F28" s="400">
        <f>'3. LCL D'!Q6</f>
        <v>42</v>
      </c>
    </row>
    <row r="29">
      <c r="B29" s="394"/>
      <c r="D29" s="394"/>
      <c r="E29" s="395"/>
      <c r="F29" s="395"/>
      <c r="G29" s="2"/>
    </row>
    <row r="30" ht="15.75" customHeight="1">
      <c r="B30" s="306">
        <v>3.0</v>
      </c>
      <c r="C30" s="118"/>
      <c r="D30" s="397" t="s">
        <v>252</v>
      </c>
      <c r="E30" s="355" t="str">
        <f t="shared" ref="E30:F30" si="3">SUM(E31:E35)</f>
        <v>#DIV/0!</v>
      </c>
      <c r="F30" s="355" t="str">
        <f t="shared" si="3"/>
        <v>#DIV/0!</v>
      </c>
    </row>
    <row r="31" ht="15.75" customHeight="1">
      <c r="B31" s="402">
        <v>3.1</v>
      </c>
      <c r="C31" s="118"/>
      <c r="D31" s="399" t="str">
        <f>'3. LCL D'!J1</f>
        <v>AD-VALOREM</v>
      </c>
      <c r="E31" s="400" t="str">
        <f>'3. LCL D'!J5</f>
        <v>#DIV/0!</v>
      </c>
      <c r="F31" s="400" t="str">
        <f>'3. LCL D'!J6</f>
        <v>#DIV/0!</v>
      </c>
    </row>
    <row r="32" ht="15.75" customHeight="1">
      <c r="B32" s="398">
        <v>3.2</v>
      </c>
      <c r="C32" s="118"/>
      <c r="D32" s="399" t="str">
        <f>'3. LCL D'!K1</f>
        <v>FODINFA</v>
      </c>
      <c r="E32" s="400" t="str">
        <f>'3. LCL D'!K5</f>
        <v>#DIV/0!</v>
      </c>
      <c r="F32" s="400" t="str">
        <f>'3. LCL D'!K6</f>
        <v>#DIV/0!</v>
      </c>
    </row>
    <row r="33" ht="15.75" customHeight="1">
      <c r="B33" s="402">
        <v>3.3</v>
      </c>
      <c r="C33" s="118"/>
      <c r="D33" s="399" t="str">
        <f>'3. LCL D'!L1</f>
        <v>ICE</v>
      </c>
      <c r="E33" s="400" t="str">
        <f>'3. LCL D'!L5</f>
        <v>#DIV/0!</v>
      </c>
      <c r="F33" s="400" t="str">
        <f>'3. LCL D'!L6</f>
        <v>#DIV/0!</v>
      </c>
    </row>
    <row r="34" ht="15.75" customHeight="1">
      <c r="B34" s="398">
        <v>3.4</v>
      </c>
      <c r="C34" s="118"/>
      <c r="D34" s="399" t="str">
        <f>'3. LCL D'!M1</f>
        <v>IMPUESTOS ESPECIFICOS</v>
      </c>
      <c r="E34" s="400">
        <f>'3. LCL D'!M5</f>
        <v>0</v>
      </c>
      <c r="F34" s="400">
        <f>'3. LCL D'!M6</f>
        <v>0</v>
      </c>
    </row>
    <row r="35" ht="15.75" customHeight="1">
      <c r="B35" s="402">
        <v>3.5</v>
      </c>
      <c r="C35" s="118"/>
      <c r="D35" s="399" t="str">
        <f>'3. LCL D'!N1</f>
        <v>IVA SENAE</v>
      </c>
      <c r="E35" s="400" t="str">
        <f>'3. LCL D'!N5</f>
        <v>#DIV/0!</v>
      </c>
      <c r="F35" s="400" t="str">
        <f>'3. LCL D'!N6</f>
        <v>#DIV/0!</v>
      </c>
    </row>
    <row r="36">
      <c r="B36" s="394"/>
      <c r="C36" s="394"/>
      <c r="D36" s="394"/>
      <c r="E36" s="395"/>
      <c r="F36" s="395"/>
      <c r="G36" s="2"/>
    </row>
    <row r="37" ht="15.75" customHeight="1">
      <c r="B37" s="306">
        <v>4.0</v>
      </c>
      <c r="C37" s="118"/>
      <c r="D37" s="397" t="s">
        <v>253</v>
      </c>
      <c r="E37" s="355">
        <f t="shared" ref="E37:F37" si="4">SUM(E38:E42)</f>
        <v>195.62</v>
      </c>
      <c r="F37" s="355">
        <f t="shared" si="4"/>
        <v>27.5355</v>
      </c>
    </row>
    <row r="38" ht="15.75" customHeight="1">
      <c r="B38" s="402">
        <v>4.1</v>
      </c>
      <c r="C38" s="118"/>
      <c r="D38" s="399" t="str">
        <f>'3. LCL D'!F1</f>
        <v>SALIDA DIVISAS ISD</v>
      </c>
      <c r="E38" s="400">
        <f>'3. LCL D'!F5</f>
        <v>2.05</v>
      </c>
      <c r="F38" s="400">
        <f>'3. LCL D'!F6</f>
        <v>0</v>
      </c>
    </row>
    <row r="39" ht="15.75" customHeight="1">
      <c r="B39" s="402">
        <v>4.2</v>
      </c>
      <c r="C39" s="118"/>
      <c r="D39" s="399" t="str">
        <f>'3. LCL D'!G1</f>
        <v>COMISIÓN BANCARIA (2 X PROVEEDOR)</v>
      </c>
      <c r="E39" s="400">
        <f>'3. LCL D'!G5</f>
        <v>140</v>
      </c>
      <c r="F39" s="400">
        <f>'3. LCL D'!G6</f>
        <v>21</v>
      </c>
    </row>
    <row r="40" ht="15.75" customHeight="1">
      <c r="B40" s="402">
        <v>4.3</v>
      </c>
      <c r="C40" s="118"/>
      <c r="D40" s="399" t="str">
        <f>'3. LCL D'!R1</f>
        <v>DEPOSITO TEMPORAL</v>
      </c>
      <c r="E40" s="400">
        <f>'3. LCL D'!R5</f>
        <v>43.57</v>
      </c>
      <c r="F40" s="400">
        <f>'3. LCL D'!R6</f>
        <v>6.5355</v>
      </c>
    </row>
    <row r="41" ht="15.75" customHeight="1">
      <c r="B41" s="402">
        <v>4.4</v>
      </c>
      <c r="C41" s="118"/>
      <c r="D41" s="399" t="str">
        <f>'3. LCL D'!S1</f>
        <v>TRANSPORTE INTERNO ECUADOR</v>
      </c>
      <c r="E41" s="400">
        <f>'3. LCL D'!S5</f>
        <v>10</v>
      </c>
      <c r="F41" s="400">
        <f>'3. LCL D'!S6</f>
        <v>0</v>
      </c>
    </row>
    <row r="42" ht="15.75" customHeight="1">
      <c r="B42" s="402">
        <v>4.5</v>
      </c>
      <c r="C42" s="118"/>
      <c r="D42" s="399" t="str">
        <f>'3. LCL D'!T1</f>
        <v>CANDADO</v>
      </c>
      <c r="E42" s="400">
        <f>'3. LCL D'!T5</f>
        <v>0</v>
      </c>
      <c r="F42" s="400">
        <f>'3. LCL D'!T6</f>
        <v>0</v>
      </c>
    </row>
    <row r="43">
      <c r="B43" s="394"/>
      <c r="C43" s="394"/>
      <c r="D43" s="394"/>
      <c r="E43" s="395"/>
      <c r="F43" s="395"/>
      <c r="G43" s="2"/>
    </row>
    <row r="44">
      <c r="B44" s="403"/>
      <c r="D44" s="404" t="s">
        <v>117</v>
      </c>
      <c r="E44" s="397" t="str">
        <f>E18+E21+E30+E37</f>
        <v>#DIV/0!</v>
      </c>
      <c r="F44" s="405"/>
    </row>
    <row r="45">
      <c r="B45" s="403"/>
      <c r="D45" s="404" t="s">
        <v>254</v>
      </c>
      <c r="E45" s="397" t="str">
        <f>E44+F21+F30+F37</f>
        <v>#DIV/0!</v>
      </c>
      <c r="F45" s="405"/>
    </row>
    <row r="46">
      <c r="B46" s="394"/>
      <c r="C46" s="394"/>
      <c r="D46" s="394"/>
      <c r="E46" s="395"/>
      <c r="F46" s="395"/>
      <c r="G46" s="2"/>
    </row>
    <row r="47" ht="27.0" customHeight="1">
      <c r="B47" s="406" t="s">
        <v>255</v>
      </c>
      <c r="C47" s="144"/>
      <c r="D47" s="118"/>
      <c r="E47" s="316" t="s">
        <v>210</v>
      </c>
      <c r="F47" s="316" t="s">
        <v>211</v>
      </c>
      <c r="G47" s="2"/>
    </row>
    <row r="48" ht="15.75" customHeight="1">
      <c r="B48" s="320" t="s">
        <v>256</v>
      </c>
      <c r="C48" s="144"/>
      <c r="D48" s="118"/>
      <c r="E48" s="407">
        <f>SUM(E22:F22,E23:F23,E25:F25,E26:F26)*1.055</f>
        <v>254.7825</v>
      </c>
      <c r="F48" s="408">
        <f>SUM(E22:F22,E23:F23,E25:F25,E26:F26)</f>
        <v>241.5</v>
      </c>
    </row>
    <row r="49" ht="16.5" customHeight="1">
      <c r="B49" s="320" t="s">
        <v>257</v>
      </c>
      <c r="C49" s="144"/>
      <c r="D49" s="118"/>
      <c r="E49" s="407">
        <f>SUM(E24:F24,E27:F27,E28:F28)*1.055</f>
        <v>844</v>
      </c>
      <c r="F49" s="409">
        <f>SUM(E24:F24,E27:F27,E28:F28)</f>
        <v>800</v>
      </c>
    </row>
    <row r="50" ht="16.5" customHeight="1">
      <c r="B50" s="320" t="s">
        <v>118</v>
      </c>
      <c r="C50" s="144"/>
      <c r="D50" s="118"/>
      <c r="E50" s="407">
        <f>E48+E49</f>
        <v>1098.7825</v>
      </c>
      <c r="F50" s="407">
        <f>(E21+F21)</f>
        <v>1041.5</v>
      </c>
    </row>
    <row r="51">
      <c r="B51" s="394"/>
      <c r="C51" s="394"/>
      <c r="D51" s="394"/>
      <c r="E51" s="395"/>
      <c r="F51" s="395"/>
      <c r="G51" s="2"/>
    </row>
    <row r="52" ht="15.75" customHeight="1">
      <c r="B52" s="410" t="s">
        <v>258</v>
      </c>
      <c r="C52" s="144"/>
      <c r="D52" s="144"/>
      <c r="E52" s="144"/>
      <c r="F52" s="118"/>
    </row>
    <row r="53" ht="41.25" customHeight="1">
      <c r="B53" s="411" t="s">
        <v>259</v>
      </c>
      <c r="C53" s="144"/>
      <c r="D53" s="144"/>
      <c r="E53" s="144"/>
      <c r="F53" s="118"/>
    </row>
    <row r="54" ht="18.0" customHeight="1">
      <c r="B54" s="412" t="s">
        <v>218</v>
      </c>
      <c r="C54" s="144"/>
      <c r="D54" s="144"/>
      <c r="E54" s="144"/>
      <c r="F54" s="118"/>
    </row>
    <row r="55" ht="18.0" customHeight="1">
      <c r="B55" s="412" t="s">
        <v>260</v>
      </c>
      <c r="C55" s="144"/>
      <c r="D55" s="144"/>
      <c r="E55" s="144"/>
      <c r="F55" s="118"/>
    </row>
    <row r="56" ht="17.25" customHeight="1">
      <c r="B56" s="413" t="s">
        <v>223</v>
      </c>
      <c r="C56" s="144"/>
      <c r="D56" s="144"/>
      <c r="E56" s="144"/>
      <c r="F56" s="118"/>
    </row>
    <row r="57" ht="15.75" customHeight="1">
      <c r="B57" s="414" t="s">
        <v>253</v>
      </c>
      <c r="C57" s="144"/>
      <c r="D57" s="144"/>
      <c r="E57" s="144"/>
      <c r="F57" s="118"/>
    </row>
    <row r="58" ht="16.5" customHeight="1">
      <c r="B58" s="367" t="s">
        <v>261</v>
      </c>
      <c r="C58" s="144"/>
      <c r="D58" s="144"/>
      <c r="E58" s="144"/>
      <c r="F58" s="118"/>
    </row>
    <row r="59" ht="16.5" customHeight="1">
      <c r="B59" s="367" t="s">
        <v>262</v>
      </c>
      <c r="C59" s="144"/>
      <c r="D59" s="144"/>
      <c r="E59" s="144"/>
      <c r="F59" s="118"/>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sheetData>
  <mergeCells count="52">
    <mergeCell ref="B2:F2"/>
    <mergeCell ref="B3:D4"/>
    <mergeCell ref="E3:F11"/>
    <mergeCell ref="B5:C5"/>
    <mergeCell ref="B6:C6"/>
    <mergeCell ref="B7:C7"/>
    <mergeCell ref="B8:D8"/>
    <mergeCell ref="B11:C11"/>
    <mergeCell ref="B9:C9"/>
    <mergeCell ref="B10:C10"/>
    <mergeCell ref="B12:C12"/>
    <mergeCell ref="B13:C13"/>
    <mergeCell ref="B14:C14"/>
    <mergeCell ref="B15:C15"/>
    <mergeCell ref="B17:C17"/>
    <mergeCell ref="B18:C18"/>
    <mergeCell ref="B19:C19"/>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7:C37"/>
    <mergeCell ref="B38:C38"/>
    <mergeCell ref="B39:C39"/>
    <mergeCell ref="B40:C40"/>
    <mergeCell ref="B41:C41"/>
    <mergeCell ref="B42:C42"/>
    <mergeCell ref="B44:C44"/>
    <mergeCell ref="B45:C45"/>
    <mergeCell ref="B47:D47"/>
    <mergeCell ref="B48:D48"/>
    <mergeCell ref="B49:D49"/>
    <mergeCell ref="B58:F58"/>
    <mergeCell ref="B59:F59"/>
    <mergeCell ref="B50:D50"/>
    <mergeCell ref="B52:F52"/>
    <mergeCell ref="B53:F53"/>
    <mergeCell ref="B54:F54"/>
    <mergeCell ref="B55:F55"/>
    <mergeCell ref="B56:F56"/>
    <mergeCell ref="B57:F57"/>
  </mergeCells>
  <conditionalFormatting sqref="D6:D7">
    <cfRule type="expression" dxfId="4" priority="1">
      <formula>D6=44440.0</formula>
    </cfRule>
  </conditionalFormatting>
  <conditionalFormatting sqref="D6:D7">
    <cfRule type="expression" dxfId="4" priority="2">
      <formula>D6=44391.0</formula>
    </cfRule>
  </conditionalFormatting>
  <conditionalFormatting sqref="D6:D7">
    <cfRule type="expression" dxfId="4" priority="3">
      <formula>D6=44470.0</formula>
    </cfRule>
  </conditionalFormatting>
  <conditionalFormatting sqref="D9:D14">
    <cfRule type="containsBlanks" dxfId="4" priority="4">
      <formula>LEN(TRIM(D9))=0</formula>
    </cfRule>
  </conditionalFormatting>
  <conditionalFormatting sqref="D5">
    <cfRule type="containsBlanks" dxfId="4" priority="5">
      <formula>LEN(TRIM(D5))=0</formula>
    </cfRule>
  </conditionalFormatting>
  <conditionalFormatting sqref="G16 G20 G29 G36 G43 G46:G47 G51">
    <cfRule type="containsText" dxfId="19" priority="6" operator="containsText" text="no">
      <formula>NOT(ISERROR(SEARCH(("no"),(G16))))</formula>
    </cfRule>
  </conditionalFormatting>
  <conditionalFormatting sqref="B2:F2">
    <cfRule type="containsText" dxfId="19" priority="7" operator="containsText" text="NO">
      <formula>NOT(ISERROR(SEARCH(("NO"),(B2))))</formula>
    </cfRule>
  </conditionalFormatting>
  <conditionalFormatting sqref="B2:F2">
    <cfRule type="containsText" dxfId="26" priority="8" operator="containsText" text="CORRECTA">
      <formula>NOT(ISERROR(SEARCH(("CORRECTA"),(B2))))</formula>
    </cfRule>
  </conditionalFormatting>
  <dataValidations>
    <dataValidation type="list" allowBlank="1" sqref="D5">
      <formula1>"01 Denisse De la Cruz,02 Margarita Carpio,03 Gabriela Nuñez,04 Marly Morán,06 Daniel Benitez,07 Marilyn Cajas,09 Jhonny López,11 Sami Cachinguango,13 Ivis Anchundia,14 Damaris Ñacato,15 Veyda Isvannath "</formula1>
    </dataValidation>
  </dataValidations>
  <printOptions horizontalCentered="1"/>
  <pageMargins bottom="0.75" footer="0.0" header="0.0" left="0.7" right="0.7" top="0.75"/>
  <pageSetup fitToHeight="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86"/>
    <col customWidth="1" min="3" max="3" width="26.0"/>
    <col customWidth="1" min="6" max="6" width="19.29"/>
    <col customWidth="1" min="7" max="7" width="50.57"/>
  </cols>
  <sheetData>
    <row r="1">
      <c r="B1" s="259" t="s">
        <v>263</v>
      </c>
    </row>
    <row r="2" ht="24.75" customHeight="1">
      <c r="B2" s="415" t="s">
        <v>264</v>
      </c>
    </row>
    <row r="3">
      <c r="B3" s="416" t="s">
        <v>265</v>
      </c>
      <c r="C3" s="285"/>
      <c r="F3" s="417" t="s">
        <v>266</v>
      </c>
      <c r="G3" s="418">
        <f>IF(C4=TRUE,"ESCRIBIR DATOS COMPLETOS",0)</f>
        <v>0</v>
      </c>
    </row>
    <row r="4">
      <c r="B4" s="416" t="s">
        <v>267</v>
      </c>
      <c r="C4" s="419" t="b">
        <v>0</v>
      </c>
      <c r="F4" s="416" t="s">
        <v>268</v>
      </c>
      <c r="G4" s="418">
        <f>IF(C5=TRUE,"CLIENTE EXISTENTE, PONER SOLO NOMBRE DE LA CUENTA",0)</f>
        <v>0</v>
      </c>
    </row>
    <row r="5">
      <c r="B5" s="416" t="s">
        <v>269</v>
      </c>
      <c r="C5" s="419" t="b">
        <v>0</v>
      </c>
      <c r="F5" s="416" t="s">
        <v>270</v>
      </c>
      <c r="G5" s="418"/>
    </row>
    <row r="6">
      <c r="B6" s="416" t="s">
        <v>271</v>
      </c>
      <c r="C6" s="416"/>
      <c r="F6" s="416" t="s">
        <v>272</v>
      </c>
      <c r="G6" s="418"/>
    </row>
    <row r="7">
      <c r="B7" s="416" t="s">
        <v>273</v>
      </c>
      <c r="C7" s="420">
        <f>'1.CÁL'!D16</f>
        <v>2</v>
      </c>
      <c r="F7" s="416" t="s">
        <v>274</v>
      </c>
      <c r="G7" s="418"/>
    </row>
    <row r="8">
      <c r="F8" s="416" t="s">
        <v>275</v>
      </c>
      <c r="G8" s="418"/>
    </row>
    <row r="9">
      <c r="F9" s="416" t="s">
        <v>276</v>
      </c>
      <c r="G9" s="421" t="s">
        <v>277</v>
      </c>
    </row>
    <row r="10">
      <c r="B10" s="422"/>
      <c r="C10" s="422"/>
      <c r="D10" s="422"/>
      <c r="E10" s="422"/>
    </row>
    <row r="11">
      <c r="B11" s="423" t="s">
        <v>30</v>
      </c>
      <c r="D11" s="424" t="str">
        <f>IFERROR(IF((COUNTIFS('1.CÁL'!$C$3:$C$5,"PA") - COUNTIFS('1.CÁL'!$C$3:$C$5,"PA",'1.CÁL'!$AD$3:$AD$5,"NO"))&gt;0,"REQUIERE PERMISO","SIN PERMISO"),"REVISAR")</f>
        <v>SIN PERMISO</v>
      </c>
    </row>
    <row r="12">
      <c r="B12" s="259" t="s">
        <v>278</v>
      </c>
      <c r="C12" s="238">
        <f>COUNTIF('1.CÁL'!C3:C5,"PA")</f>
        <v>2</v>
      </c>
    </row>
    <row r="13">
      <c r="B13" s="259" t="s">
        <v>279</v>
      </c>
      <c r="C13" s="285" t="s">
        <v>280</v>
      </c>
      <c r="D13" s="425" t="s">
        <v>144</v>
      </c>
      <c r="E13" s="425" t="s">
        <v>281</v>
      </c>
    </row>
    <row r="14">
      <c r="B14" s="259" t="s">
        <v>282</v>
      </c>
      <c r="C14" s="426">
        <f>SUMIF('1.CÁL'!C3:C5,"PA",'1.CÁL'!O3:O5)</f>
        <v>0</v>
      </c>
      <c r="D14" s="427">
        <f>SUMIF(C13,"USD",C16)</f>
        <v>0</v>
      </c>
      <c r="E14" s="428">
        <f>SUMIF(C13,"RMB",C16)*6.8</f>
        <v>0</v>
      </c>
    </row>
    <row r="15">
      <c r="B15" s="259" t="s">
        <v>283</v>
      </c>
      <c r="C15" s="426">
        <f>SUMIF('1.CÁL'!C3:C5,"PA",'1.CÁL'!T3:T5)</f>
        <v>0</v>
      </c>
      <c r="D15" s="429"/>
      <c r="E15" s="429"/>
    </row>
    <row r="16">
      <c r="B16" s="259" t="s">
        <v>284</v>
      </c>
      <c r="C16" s="426">
        <f>C14+C15</f>
        <v>0</v>
      </c>
      <c r="D16" s="426"/>
    </row>
    <row r="17">
      <c r="B17" s="259" t="s">
        <v>285</v>
      </c>
      <c r="C17" s="426" t="str">
        <f>SUMIF('1.CÁL'!C3:C5,"PA",'1.CÁL'!I11:I13)</f>
        <v>#DIV/0!</v>
      </c>
      <c r="D17" s="430"/>
    </row>
    <row r="18">
      <c r="B18" s="259" t="s">
        <v>286</v>
      </c>
    </row>
    <row r="19">
      <c r="B19" s="259" t="s">
        <v>287</v>
      </c>
      <c r="C19" s="238" t="str">
        <f>IF(C20="Existente","Existente","falta contacto proveedor")</f>
        <v>falta contacto proveedor</v>
      </c>
    </row>
    <row r="20">
      <c r="B20" s="259" t="s">
        <v>288</v>
      </c>
      <c r="C20" s="285" t="s">
        <v>289</v>
      </c>
    </row>
    <row r="21">
      <c r="B21" s="259" t="s">
        <v>290</v>
      </c>
      <c r="C21" s="285"/>
    </row>
    <row r="22">
      <c r="B22" s="259" t="s">
        <v>291</v>
      </c>
      <c r="C22" s="285"/>
    </row>
    <row r="23">
      <c r="B23" s="259" t="s">
        <v>292</v>
      </c>
    </row>
    <row r="24">
      <c r="B24" s="259" t="s">
        <v>293</v>
      </c>
    </row>
    <row r="26">
      <c r="B26" s="431" t="s">
        <v>35</v>
      </c>
      <c r="D26" s="424" t="str">
        <f>IFERROR(IF((COUNTIFS('1.CÁL'!$C$3:$C$5,"PB") - COUNTIFS('1.CÁL'!$C$3:$C$5,"PB",'1.CÁL'!$AD$3:$AD$5,"NO"))&gt;0,"REQUIERE PERMISO","SIN PERMISO"),"REVISAR")</f>
        <v>SIN PERMISO</v>
      </c>
    </row>
    <row r="27">
      <c r="B27" s="259" t="s">
        <v>278</v>
      </c>
      <c r="C27" s="238">
        <f>COUNTIF('1.CÁL'!C3:C5,"PB")</f>
        <v>1</v>
      </c>
    </row>
    <row r="28">
      <c r="B28" s="259" t="s">
        <v>279</v>
      </c>
      <c r="C28" s="285" t="s">
        <v>144</v>
      </c>
      <c r="D28" s="425" t="s">
        <v>144</v>
      </c>
      <c r="E28" s="425" t="s">
        <v>281</v>
      </c>
    </row>
    <row r="29">
      <c r="B29" s="259" t="s">
        <v>282</v>
      </c>
      <c r="C29" s="426">
        <f>SUMIF('1.CÁL'!C3:C5,"PB",'1.CÁL'!O3:O5)</f>
        <v>0</v>
      </c>
      <c r="D29" s="427">
        <f>SUMIF(C28,"USD",C31)</f>
        <v>0</v>
      </c>
      <c r="E29" s="428">
        <f>SUMIF(C28,"RMB",C31)*6.8</f>
        <v>0</v>
      </c>
    </row>
    <row r="30">
      <c r="B30" s="259" t="s">
        <v>283</v>
      </c>
      <c r="C30" s="426">
        <f>SUMIF('1.CÁL'!C3:C5,"PB",'1.CÁL'!T3:T5)</f>
        <v>0</v>
      </c>
      <c r="D30" s="429"/>
      <c r="E30" s="429"/>
    </row>
    <row r="31">
      <c r="B31" s="259" t="s">
        <v>284</v>
      </c>
      <c r="C31" s="426">
        <f>C29+C30</f>
        <v>0</v>
      </c>
      <c r="D31" s="426"/>
    </row>
    <row r="32">
      <c r="B32" s="259" t="s">
        <v>285</v>
      </c>
      <c r="C32" s="426" t="str">
        <f>SUMIF('1.CÁL'!C3:C5,"PB",'1.CÁL'!I11:I13)</f>
        <v>#DIV/0!</v>
      </c>
      <c r="D32" s="426"/>
    </row>
    <row r="33">
      <c r="B33" s="259" t="s">
        <v>286</v>
      </c>
    </row>
    <row r="34">
      <c r="B34" s="259" t="s">
        <v>287</v>
      </c>
      <c r="C34" s="238" t="str">
        <f>IF(C35="Existente","Existente","falta contacto proveedor")</f>
        <v>falta contacto proveedor</v>
      </c>
    </row>
    <row r="35">
      <c r="B35" s="259" t="s">
        <v>288</v>
      </c>
      <c r="C35" s="285" t="s">
        <v>289</v>
      </c>
    </row>
    <row r="36">
      <c r="B36" s="259" t="s">
        <v>290</v>
      </c>
      <c r="C36" s="285"/>
    </row>
    <row r="37">
      <c r="B37" s="259" t="s">
        <v>291</v>
      </c>
      <c r="C37" s="285"/>
    </row>
    <row r="38">
      <c r="B38" s="259" t="s">
        <v>292</v>
      </c>
    </row>
    <row r="39">
      <c r="B39" s="259" t="s">
        <v>293</v>
      </c>
    </row>
    <row r="41">
      <c r="B41" s="432" t="s">
        <v>294</v>
      </c>
      <c r="D41" s="424" t="str">
        <f>IFERROR(IF((COUNTIFS('1.CÁL'!$C$3:$C$5,"PC") - COUNTIFS('1.CÁL'!$C$3:$C$5,"PC",'1.CÁL'!$AD$3:$AD$5,"NO"))&gt;0,"REQUIERE PERMISO","SIN PERMISO"),"REVISAR")</f>
        <v>SIN PERMISO</v>
      </c>
    </row>
    <row r="42">
      <c r="B42" s="259" t="s">
        <v>278</v>
      </c>
      <c r="C42" s="238">
        <f>COUNTIF('1.CÁL'!C3:C5,"PC")</f>
        <v>0</v>
      </c>
    </row>
    <row r="43">
      <c r="B43" s="259" t="s">
        <v>279</v>
      </c>
      <c r="C43" s="285" t="s">
        <v>280</v>
      </c>
      <c r="D43" s="425" t="s">
        <v>144</v>
      </c>
      <c r="E43" s="425" t="s">
        <v>281</v>
      </c>
    </row>
    <row r="44">
      <c r="B44" s="259" t="s">
        <v>282</v>
      </c>
      <c r="C44" s="426">
        <f>SUMIF('1.CÁL'!C3:C5,"PC",'1.CÁL'!O3:O5)</f>
        <v>0</v>
      </c>
      <c r="D44" s="427">
        <f>SUMIF(C43,"USD",C46)</f>
        <v>0</v>
      </c>
      <c r="E44" s="428">
        <f>SUMIF(C43,"RMB",C46)*6.8</f>
        <v>0</v>
      </c>
    </row>
    <row r="45">
      <c r="B45" s="259" t="s">
        <v>283</v>
      </c>
      <c r="C45" s="426">
        <f>SUMIF('1.CÁL'!C3:C5,"PC",'1.CÁL'!T3:T5)</f>
        <v>0</v>
      </c>
      <c r="D45" s="429"/>
      <c r="E45" s="429"/>
    </row>
    <row r="46">
      <c r="B46" s="259" t="s">
        <v>284</v>
      </c>
      <c r="C46" s="426">
        <f>C44+C45</f>
        <v>0</v>
      </c>
      <c r="D46" s="426"/>
    </row>
    <row r="47">
      <c r="B47" s="259" t="s">
        <v>285</v>
      </c>
      <c r="C47" s="426">
        <f>SUMIF('1.CÁL'!C3:C5,"PC",'1.CÁL'!I11:I13)</f>
        <v>0</v>
      </c>
      <c r="D47" s="426"/>
    </row>
    <row r="48">
      <c r="B48" s="259" t="s">
        <v>286</v>
      </c>
    </row>
    <row r="49">
      <c r="B49" s="259" t="s">
        <v>287</v>
      </c>
      <c r="C49" s="238" t="str">
        <f>IF(C50="Existente","Existente","falta contacto proveedor")</f>
        <v>falta contacto proveedor</v>
      </c>
    </row>
    <row r="50">
      <c r="B50" s="259" t="s">
        <v>288</v>
      </c>
      <c r="C50" s="285" t="s">
        <v>289</v>
      </c>
    </row>
    <row r="51">
      <c r="B51" s="259" t="s">
        <v>290</v>
      </c>
      <c r="C51" s="285"/>
    </row>
    <row r="52">
      <c r="B52" s="259" t="s">
        <v>291</v>
      </c>
      <c r="C52" s="285"/>
    </row>
    <row r="53">
      <c r="B53" s="259" t="s">
        <v>295</v>
      </c>
    </row>
    <row r="54">
      <c r="B54" s="259" t="s">
        <v>293</v>
      </c>
    </row>
    <row r="56">
      <c r="B56" s="433" t="s">
        <v>296</v>
      </c>
      <c r="D56" s="424" t="str">
        <f>IFERROR(IF((COUNTIFS('1.CÁL'!$C$3:$C$5,"PD") - COUNTIFS('1.CÁL'!$C$3:$C$5,"PD",'1.CÁL'!$AD$3:$AD$5,"NO"))&gt;0,"REQUIERE PERMISO","SIN PERMISO"),"REVISAR")</f>
        <v>SIN PERMISO</v>
      </c>
    </row>
    <row r="57">
      <c r="B57" s="259" t="s">
        <v>278</v>
      </c>
      <c r="C57" s="238">
        <f>COUNTIF('1.CÁL'!C3:C5,"PD")</f>
        <v>0</v>
      </c>
    </row>
    <row r="58">
      <c r="B58" s="259" t="s">
        <v>279</v>
      </c>
      <c r="C58" s="285" t="s">
        <v>144</v>
      </c>
      <c r="D58" s="425" t="s">
        <v>144</v>
      </c>
      <c r="E58" s="425" t="s">
        <v>281</v>
      </c>
    </row>
    <row r="59">
      <c r="B59" s="259" t="s">
        <v>282</v>
      </c>
      <c r="C59" s="426">
        <f>SUMIF('1.CÁL'!C3:C5,"PD",'1.CÁL'!O3:O5)</f>
        <v>0</v>
      </c>
      <c r="D59" s="427">
        <f>SUMIF(C58,"USD",C61)</f>
        <v>0</v>
      </c>
      <c r="E59" s="428">
        <f>SUMIF(C58,"RMB",C61)*6.8</f>
        <v>0</v>
      </c>
    </row>
    <row r="60">
      <c r="B60" s="259" t="s">
        <v>283</v>
      </c>
      <c r="C60" s="426">
        <f>SUMIF('1.CÁL'!C3:C5,"PD",'1.CÁL'!T3:T5)</f>
        <v>0</v>
      </c>
      <c r="D60" s="429"/>
      <c r="E60" s="429"/>
    </row>
    <row r="61">
      <c r="B61" s="259" t="s">
        <v>284</v>
      </c>
      <c r="C61" s="426">
        <f>C59+C60</f>
        <v>0</v>
      </c>
      <c r="D61" s="426"/>
    </row>
    <row r="62">
      <c r="B62" s="259" t="s">
        <v>285</v>
      </c>
      <c r="C62" s="426">
        <f>SUMIF('1.CÁL'!C3:C5,"PD",'1.CÁL'!I11:I13)</f>
        <v>0</v>
      </c>
      <c r="D62" s="426"/>
    </row>
    <row r="63">
      <c r="B63" s="259" t="s">
        <v>286</v>
      </c>
    </row>
    <row r="64">
      <c r="B64" s="259" t="s">
        <v>287</v>
      </c>
      <c r="C64" s="238" t="str">
        <f>IF(C65="Existente","Existente","falta contacto proveedor")</f>
        <v>falta contacto proveedor</v>
      </c>
    </row>
    <row r="65">
      <c r="B65" s="259" t="s">
        <v>288</v>
      </c>
      <c r="C65" s="285" t="s">
        <v>289</v>
      </c>
    </row>
    <row r="66">
      <c r="B66" s="259" t="s">
        <v>290</v>
      </c>
      <c r="C66" s="285"/>
    </row>
    <row r="67">
      <c r="B67" s="259" t="s">
        <v>291</v>
      </c>
      <c r="C67" s="285"/>
    </row>
    <row r="68">
      <c r="B68" s="259" t="s">
        <v>295</v>
      </c>
    </row>
    <row r="71">
      <c r="B71" s="434" t="s">
        <v>297</v>
      </c>
      <c r="D71" s="424" t="str">
        <f>IFERROR(IF((COUNTIFS('1.CÁL'!$C$3:$C$5,"PE") - COUNTIFS('1.CÁL'!$C$3:$C$5,"PE",'1.CÁL'!$AD$3:$AD$5,"NO"))&gt;0,"REQUIERE PERMISO","SIN PERMISO"),"REVISAR")</f>
        <v>SIN PERMISO</v>
      </c>
    </row>
    <row r="72">
      <c r="B72" s="259" t="s">
        <v>278</v>
      </c>
      <c r="C72" s="238">
        <f>COUNTIF('1.CÁL'!C3:C5,"PE")</f>
        <v>0</v>
      </c>
    </row>
    <row r="73">
      <c r="B73" s="259" t="s">
        <v>279</v>
      </c>
      <c r="C73" s="285" t="s">
        <v>144</v>
      </c>
      <c r="D73" s="425" t="s">
        <v>144</v>
      </c>
      <c r="E73" s="425" t="s">
        <v>281</v>
      </c>
    </row>
    <row r="74">
      <c r="B74" s="259" t="s">
        <v>282</v>
      </c>
      <c r="C74" s="426">
        <f>SUMIF('1.CÁL'!C3:C5,"PE",'1.CÁL'!O3:O5)</f>
        <v>0</v>
      </c>
      <c r="D74" s="427">
        <f>SUMIF(C73,"USD",C76)</f>
        <v>0</v>
      </c>
      <c r="E74" s="428">
        <f>SUMIF(C73,"RMB",C76)*6.8</f>
        <v>0</v>
      </c>
    </row>
    <row r="75">
      <c r="B75" s="259" t="s">
        <v>283</v>
      </c>
      <c r="C75" s="426">
        <f>SUMIF('1.CÁL'!C3:C5,"PE",'1.CÁL'!T3:T5)</f>
        <v>0</v>
      </c>
      <c r="D75" s="429"/>
      <c r="E75" s="429"/>
    </row>
    <row r="76">
      <c r="B76" s="259" t="s">
        <v>284</v>
      </c>
      <c r="C76" s="426">
        <f>C74+C75</f>
        <v>0</v>
      </c>
      <c r="D76" s="426"/>
    </row>
    <row r="77">
      <c r="B77" s="259" t="s">
        <v>285</v>
      </c>
      <c r="C77" s="426">
        <f>SUMIF('1.CÁL'!C3:C5,"PE",'1.CÁL'!I11:I13)</f>
        <v>0</v>
      </c>
      <c r="D77" s="426"/>
    </row>
    <row r="78">
      <c r="B78" s="259" t="s">
        <v>286</v>
      </c>
    </row>
    <row r="79">
      <c r="B79" s="259" t="s">
        <v>287</v>
      </c>
    </row>
    <row r="80">
      <c r="B80" s="259" t="s">
        <v>290</v>
      </c>
      <c r="C80" s="285"/>
    </row>
    <row r="81">
      <c r="B81" s="259" t="s">
        <v>291</v>
      </c>
      <c r="C81" s="285"/>
    </row>
    <row r="82">
      <c r="B82" s="259" t="s">
        <v>295</v>
      </c>
    </row>
    <row r="85">
      <c r="B85" s="435" t="s">
        <v>298</v>
      </c>
      <c r="D85" s="424" t="str">
        <f>IFERROR(IF((COUNTIFS('1.CÁL'!$C$3:$C$5,"PF") - COUNTIFS('1.CÁL'!$C$3:$C$5,"PF",'1.CÁL'!$AD$3:$AD$5,"NO"))&gt;0,"REQUIERE PERMISO","SIN PERMISO"),"REVISAR")</f>
        <v>SIN PERMISO</v>
      </c>
    </row>
    <row r="86">
      <c r="B86" s="259" t="s">
        <v>278</v>
      </c>
      <c r="C86" s="238">
        <f>COUNTIF('1.CÁL'!C3:C5,"PF")</f>
        <v>0</v>
      </c>
    </row>
    <row r="87">
      <c r="B87" s="259" t="s">
        <v>279</v>
      </c>
      <c r="C87" s="285" t="s">
        <v>280</v>
      </c>
      <c r="D87" s="425" t="s">
        <v>144</v>
      </c>
      <c r="E87" s="425" t="s">
        <v>281</v>
      </c>
    </row>
    <row r="88">
      <c r="B88" s="259" t="s">
        <v>282</v>
      </c>
      <c r="C88" s="426">
        <f>SUMIF('1.CÁL'!C3:C5,"PF",'1.CÁL'!O3:O5)</f>
        <v>0</v>
      </c>
      <c r="D88" s="427">
        <f>SUMIF(C87,"USD",C90)</f>
        <v>0</v>
      </c>
      <c r="E88" s="428">
        <f>SUMIF(C87,"RMB",C90)*6.8</f>
        <v>0</v>
      </c>
    </row>
    <row r="89">
      <c r="B89" s="259" t="s">
        <v>283</v>
      </c>
      <c r="C89" s="426">
        <f>SUMIF('1.CÁL'!C3:C5,"PF",'1.CÁL'!T3:T5)</f>
        <v>0</v>
      </c>
      <c r="D89" s="429"/>
      <c r="E89" s="429"/>
    </row>
    <row r="90">
      <c r="B90" s="259" t="s">
        <v>284</v>
      </c>
      <c r="C90" s="426">
        <f>C88+C89</f>
        <v>0</v>
      </c>
      <c r="D90" s="426"/>
    </row>
    <row r="91">
      <c r="B91" s="259" t="s">
        <v>285</v>
      </c>
      <c r="C91" s="426">
        <f>SUMIF('1.CÁL'!C3:C5,"PF",'1.CÁL'!I11:I13)</f>
        <v>0</v>
      </c>
      <c r="D91" s="426"/>
    </row>
    <row r="92">
      <c r="B92" s="259" t="s">
        <v>286</v>
      </c>
    </row>
    <row r="93">
      <c r="B93" s="259" t="s">
        <v>287</v>
      </c>
      <c r="C93" s="238" t="str">
        <f>IF(C94="Existente","Existente","falta contacto proveedor")</f>
        <v>falta contacto proveedor</v>
      </c>
    </row>
    <row r="94">
      <c r="B94" s="259" t="s">
        <v>288</v>
      </c>
      <c r="C94" s="285" t="s">
        <v>289</v>
      </c>
    </row>
    <row r="95">
      <c r="B95" s="259" t="s">
        <v>290</v>
      </c>
      <c r="C95" s="285"/>
    </row>
    <row r="96">
      <c r="B96" s="259" t="s">
        <v>291</v>
      </c>
      <c r="C96" s="285"/>
    </row>
    <row r="97">
      <c r="B97" s="259" t="s">
        <v>295</v>
      </c>
    </row>
    <row r="100">
      <c r="B100" s="433" t="s">
        <v>299</v>
      </c>
      <c r="D100" s="424" t="str">
        <f>IFERROR(IF((COUNTIFS('1.CÁL'!$C$3:$C$5,"PG") - COUNTIFS('1.CÁL'!$C$3:$C$5,"PG",'1.CÁL'!$AD$3:$AD$5,"NO"))&gt;0,"REQUIERE PERMISO","SIN PERMISO"),"REVISAR")</f>
        <v>SIN PERMISO</v>
      </c>
    </row>
    <row r="101">
      <c r="B101" s="259" t="s">
        <v>278</v>
      </c>
      <c r="C101" s="238">
        <f>COUNTIF('1.CÁL'!C3:C5,"PG")</f>
        <v>0</v>
      </c>
    </row>
    <row r="102">
      <c r="B102" s="259" t="s">
        <v>279</v>
      </c>
      <c r="C102" s="285" t="s">
        <v>144</v>
      </c>
      <c r="D102" s="425" t="s">
        <v>144</v>
      </c>
      <c r="E102" s="425" t="s">
        <v>281</v>
      </c>
    </row>
    <row r="103">
      <c r="B103" s="259" t="s">
        <v>282</v>
      </c>
      <c r="C103" s="426">
        <f>SUMIF('1.CÁL'!C3:C5,"PG",'1.CÁL'!O3:O5)</f>
        <v>0</v>
      </c>
      <c r="D103" s="427">
        <f>SUMIF(C102,"USD",C105)</f>
        <v>0</v>
      </c>
      <c r="E103" s="428">
        <f>SUMIF(C102,"RMB",C105)*6.8</f>
        <v>0</v>
      </c>
    </row>
    <row r="104">
      <c r="B104" s="259" t="s">
        <v>283</v>
      </c>
      <c r="C104" s="426">
        <f>SUMIF('1.CÁL'!C3:C5,"PG",'1.CÁL'!T3:T5)</f>
        <v>0</v>
      </c>
      <c r="D104" s="429"/>
      <c r="E104" s="429"/>
    </row>
    <row r="105">
      <c r="B105" s="259" t="s">
        <v>284</v>
      </c>
      <c r="C105" s="426">
        <f>C103+C104</f>
        <v>0</v>
      </c>
      <c r="D105" s="426"/>
    </row>
    <row r="106">
      <c r="B106" s="259" t="s">
        <v>285</v>
      </c>
      <c r="C106" s="426">
        <f>SUMIF('1.CÁL'!C3:C5,"PG",'1.CÁL'!I11:I13)</f>
        <v>0</v>
      </c>
      <c r="D106" s="426"/>
    </row>
    <row r="107">
      <c r="B107" s="259" t="s">
        <v>286</v>
      </c>
    </row>
    <row r="108">
      <c r="B108" s="259" t="s">
        <v>287</v>
      </c>
      <c r="C108" s="238" t="str">
        <f>IF(C109="Existente","Existente","falta contacto proveedor")</f>
        <v>falta contacto proveedor</v>
      </c>
    </row>
    <row r="109">
      <c r="B109" s="259" t="s">
        <v>288</v>
      </c>
      <c r="C109" s="285" t="s">
        <v>289</v>
      </c>
    </row>
    <row r="110">
      <c r="B110" s="259" t="s">
        <v>290</v>
      </c>
      <c r="C110" s="285"/>
    </row>
    <row r="111">
      <c r="B111" s="259" t="s">
        <v>291</v>
      </c>
      <c r="C111" s="285"/>
    </row>
    <row r="112">
      <c r="B112" s="259" t="s">
        <v>295</v>
      </c>
    </row>
    <row r="115">
      <c r="B115" s="436" t="s">
        <v>300</v>
      </c>
      <c r="D115" s="424" t="str">
        <f>IFERROR(IF((COUNTIFS('1.CÁL'!$C$3:$C$5,"PH") - COUNTIFS('1.CÁL'!$C$3:$C$5,"PH",'1.CÁL'!$AD$3:$AD$5,"NO"))&gt;0,"REQUIERE PERMISO","SIN PERMISO"),"REVISAR")</f>
        <v>SIN PERMISO</v>
      </c>
    </row>
    <row r="116">
      <c r="B116" s="259" t="s">
        <v>278</v>
      </c>
      <c r="C116" s="238">
        <f>COUNTIF('1.CÁL'!C3:C5,"PH")</f>
        <v>0</v>
      </c>
    </row>
    <row r="117">
      <c r="B117" s="259" t="s">
        <v>279</v>
      </c>
      <c r="C117" s="285" t="s">
        <v>144</v>
      </c>
      <c r="D117" s="425" t="s">
        <v>144</v>
      </c>
      <c r="E117" s="425" t="s">
        <v>281</v>
      </c>
    </row>
    <row r="118">
      <c r="B118" s="259" t="s">
        <v>282</v>
      </c>
      <c r="C118" s="426">
        <f>SUMIF('1.CÁL'!C3:C5,"PH",'1.CÁL'!O3:O5)</f>
        <v>0</v>
      </c>
      <c r="D118" s="427">
        <f>SUMIF(C117,"USD",C120)</f>
        <v>0</v>
      </c>
      <c r="E118" s="428">
        <f>SUMIF(C117,"RMB",C120)*6.8</f>
        <v>0</v>
      </c>
    </row>
    <row r="119">
      <c r="B119" s="259" t="s">
        <v>283</v>
      </c>
      <c r="C119" s="426">
        <f>SUMIF('1.CÁL'!C3:C5,"PH",'1.CÁL'!T3:T5)</f>
        <v>0</v>
      </c>
      <c r="D119" s="429"/>
      <c r="E119" s="429"/>
    </row>
    <row r="120">
      <c r="B120" s="259" t="s">
        <v>284</v>
      </c>
      <c r="C120" s="426">
        <f>C118+C119</f>
        <v>0</v>
      </c>
      <c r="D120" s="426"/>
    </row>
    <row r="121">
      <c r="B121" s="259" t="s">
        <v>285</v>
      </c>
      <c r="C121" s="426">
        <f>SUMIF('1.CÁL'!C3:C5,"PH",'1.CÁL'!I11:I13)</f>
        <v>0</v>
      </c>
      <c r="D121" s="426"/>
    </row>
    <row r="122">
      <c r="B122" s="259" t="s">
        <v>286</v>
      </c>
    </row>
    <row r="123">
      <c r="B123" s="259" t="s">
        <v>287</v>
      </c>
      <c r="C123" s="238" t="str">
        <f>IF(C124="Existente","Existente","falta contacto proveedor")</f>
        <v>falta contacto proveedor</v>
      </c>
    </row>
    <row r="124">
      <c r="B124" s="259" t="s">
        <v>288</v>
      </c>
      <c r="C124" s="285" t="s">
        <v>289</v>
      </c>
    </row>
    <row r="125">
      <c r="B125" s="259" t="s">
        <v>290</v>
      </c>
      <c r="C125" s="285"/>
    </row>
    <row r="126">
      <c r="B126" s="259" t="s">
        <v>291</v>
      </c>
      <c r="C126" s="285"/>
    </row>
    <row r="127">
      <c r="B127" s="259" t="s">
        <v>295</v>
      </c>
    </row>
    <row r="130">
      <c r="B130" s="437" t="s">
        <v>301</v>
      </c>
      <c r="D130" s="424" t="str">
        <f>IFERROR(IF((COUNTIFS('1.CÁL'!$C$3:$C$5,"PI") - COUNTIFS('1.CÁL'!$C$3:$C$5,"PI",'1.CÁL'!$AD$3:$AD$5,"NO"))&gt;0,"REQUIERE PERMISO","SIN PERMISO"),"REVISAR")</f>
        <v>SIN PERMISO</v>
      </c>
    </row>
    <row r="131">
      <c r="B131" s="259" t="s">
        <v>278</v>
      </c>
      <c r="C131" s="238">
        <f>COUNTIF('1.CÁL'!C3:C5,"PI")</f>
        <v>0</v>
      </c>
    </row>
    <row r="132">
      <c r="B132" s="259" t="s">
        <v>279</v>
      </c>
      <c r="C132" s="285" t="s">
        <v>144</v>
      </c>
      <c r="D132" s="425" t="s">
        <v>144</v>
      </c>
      <c r="E132" s="425" t="s">
        <v>281</v>
      </c>
    </row>
    <row r="133">
      <c r="B133" s="259" t="s">
        <v>282</v>
      </c>
      <c r="C133" s="426">
        <f>SUMIF('1.CÁL'!C3:C5,"PI",'1.CÁL'!O3:O5)</f>
        <v>0</v>
      </c>
      <c r="D133" s="427">
        <f>SUMIF(C132,"USD",C135)</f>
        <v>0</v>
      </c>
      <c r="E133" s="428">
        <f>SUMIF(C132,"RMB",C135)*6.8</f>
        <v>0</v>
      </c>
    </row>
    <row r="134">
      <c r="B134" s="259" t="s">
        <v>283</v>
      </c>
      <c r="C134" s="426">
        <f>SUMIF('1.CÁL'!C3:C5,"PI",'1.CÁL'!T3:T5)</f>
        <v>0</v>
      </c>
      <c r="D134" s="429"/>
      <c r="E134" s="429"/>
    </row>
    <row r="135">
      <c r="B135" s="259" t="s">
        <v>284</v>
      </c>
      <c r="C135" s="426">
        <f>C133+C134</f>
        <v>0</v>
      </c>
      <c r="D135" s="426"/>
    </row>
    <row r="136">
      <c r="B136" s="259" t="s">
        <v>285</v>
      </c>
      <c r="C136" s="426">
        <f>SUMIF('1.CÁL'!C3:C5,"PI",'1.CÁL'!I11:I13)</f>
        <v>0</v>
      </c>
      <c r="D136" s="426"/>
    </row>
    <row r="137">
      <c r="B137" s="259" t="s">
        <v>286</v>
      </c>
    </row>
    <row r="138">
      <c r="B138" s="259" t="s">
        <v>287</v>
      </c>
      <c r="C138" s="238" t="str">
        <f>IF(C139="Existente","Existente","falta contacto proveedor")</f>
        <v>falta contacto proveedor</v>
      </c>
    </row>
    <row r="139">
      <c r="B139" s="259" t="s">
        <v>288</v>
      </c>
      <c r="C139" s="285" t="s">
        <v>289</v>
      </c>
    </row>
    <row r="140">
      <c r="B140" s="259" t="s">
        <v>290</v>
      </c>
      <c r="C140" s="285"/>
    </row>
    <row r="141">
      <c r="B141" s="259" t="s">
        <v>291</v>
      </c>
      <c r="C141" s="285"/>
    </row>
    <row r="142">
      <c r="B142" s="259" t="s">
        <v>295</v>
      </c>
    </row>
    <row r="145">
      <c r="B145" s="433" t="s">
        <v>302</v>
      </c>
      <c r="D145" s="424" t="str">
        <f>IFERROR(IF((COUNTIFS('1.CÁL'!$C$3:$C$5,"PJ") - COUNTIFS('1.CÁL'!$C$3:$C$5,"PJ",'1.CÁL'!$AD$3:$AD$5,"NO"))&gt;0,"REQUIERE PERMISO","SIN PERMISO"),"REVISAR")</f>
        <v>SIN PERMISO</v>
      </c>
    </row>
    <row r="146">
      <c r="B146" s="259" t="s">
        <v>278</v>
      </c>
      <c r="C146" s="238">
        <f>COUNTIF('1.CÁL'!C3:C5,"PJ")</f>
        <v>0</v>
      </c>
    </row>
    <row r="147">
      <c r="B147" s="259" t="s">
        <v>279</v>
      </c>
      <c r="C147" s="285" t="s">
        <v>144</v>
      </c>
      <c r="D147" s="425" t="s">
        <v>144</v>
      </c>
      <c r="E147" s="425" t="s">
        <v>281</v>
      </c>
    </row>
    <row r="148">
      <c r="B148" s="259" t="s">
        <v>282</v>
      </c>
      <c r="C148" s="426">
        <f>SUMIF('1.CÁL'!C3:C5,"PJ",'1.CÁL'!O3:O5)</f>
        <v>0</v>
      </c>
      <c r="D148" s="427">
        <f>SUMIF(C147,"USD",C150)</f>
        <v>0</v>
      </c>
      <c r="E148" s="428">
        <f>SUMIF(C147,"RMB",C150)*6.8</f>
        <v>0</v>
      </c>
    </row>
    <row r="149">
      <c r="B149" s="259" t="s">
        <v>283</v>
      </c>
      <c r="C149" s="426">
        <f>SUMIF('1.CÁL'!C3:C5,"PJ",'1.CÁL'!T3:T5)</f>
        <v>0</v>
      </c>
      <c r="D149" s="429"/>
      <c r="E149" s="429"/>
    </row>
    <row r="150">
      <c r="B150" s="259" t="s">
        <v>284</v>
      </c>
      <c r="C150" s="426">
        <f>C148+C149</f>
        <v>0</v>
      </c>
      <c r="D150" s="426"/>
    </row>
    <row r="151">
      <c r="B151" s="259" t="s">
        <v>285</v>
      </c>
      <c r="C151" s="426">
        <f>SUMIF('1.CÁL'!C3:C5,"PJ",'1.CÁL'!I11:I13)</f>
        <v>0</v>
      </c>
      <c r="D151" s="426"/>
    </row>
    <row r="152">
      <c r="B152" s="259" t="s">
        <v>286</v>
      </c>
    </row>
    <row r="153">
      <c r="B153" s="259" t="s">
        <v>287</v>
      </c>
      <c r="C153" s="238" t="str">
        <f>IF(C154="Existente","Existente","falta contacto proveedor")</f>
        <v>falta contacto proveedor</v>
      </c>
    </row>
    <row r="154">
      <c r="B154" s="259" t="s">
        <v>288</v>
      </c>
      <c r="C154" s="285" t="s">
        <v>289</v>
      </c>
    </row>
    <row r="155">
      <c r="B155" s="259" t="s">
        <v>290</v>
      </c>
      <c r="C155" s="285"/>
    </row>
    <row r="156">
      <c r="B156" s="259" t="s">
        <v>291</v>
      </c>
      <c r="C156" s="285"/>
    </row>
    <row r="157">
      <c r="B157" s="259" t="s">
        <v>295</v>
      </c>
    </row>
    <row r="160">
      <c r="B160" s="438" t="s">
        <v>303</v>
      </c>
      <c r="D160" s="424" t="str">
        <f>IFERROR(IF((COUNTIFS('1.CÁL'!$C$3:$C$5,"PK") - COUNTIFS('1.CÁL'!$C$3:$C$5,"PK",'1.CÁL'!$AD$3:$AD$5,"NO"))&gt;0,"REQUIERE PERMISO","SIN PERMISO"),"REVISAR")</f>
        <v>SIN PERMISO</v>
      </c>
    </row>
    <row r="161">
      <c r="B161" s="259" t="s">
        <v>278</v>
      </c>
      <c r="C161" s="238">
        <f>COUNTIF('1.CÁL'!C3:C5,"PK")</f>
        <v>0</v>
      </c>
    </row>
    <row r="162">
      <c r="B162" s="259" t="s">
        <v>279</v>
      </c>
      <c r="C162" s="285" t="s">
        <v>144</v>
      </c>
      <c r="D162" s="425" t="s">
        <v>144</v>
      </c>
      <c r="E162" s="425" t="s">
        <v>281</v>
      </c>
    </row>
    <row r="163">
      <c r="B163" s="259" t="s">
        <v>282</v>
      </c>
      <c r="C163" s="426">
        <f>SUMIF('1.CÁL'!C3:C5,"PK",'1.CÁL'!O3:O5)</f>
        <v>0</v>
      </c>
      <c r="D163" s="427">
        <f>SUMIF(C162,"USD",C165)</f>
        <v>0</v>
      </c>
      <c r="E163" s="428">
        <f>SUMIF(C162,"RMB",C165)*6.8</f>
        <v>0</v>
      </c>
    </row>
    <row r="164">
      <c r="B164" s="259" t="s">
        <v>283</v>
      </c>
      <c r="C164" s="426">
        <f>SUMIF('1.CÁL'!C3:C5,"PK",'1.CÁL'!T3:T5)</f>
        <v>0</v>
      </c>
      <c r="D164" s="429"/>
      <c r="E164" s="429"/>
    </row>
    <row r="165">
      <c r="B165" s="259" t="s">
        <v>284</v>
      </c>
      <c r="C165" s="426">
        <f>C163+C164</f>
        <v>0</v>
      </c>
      <c r="D165" s="426"/>
    </row>
    <row r="166">
      <c r="B166" s="259" t="s">
        <v>285</v>
      </c>
      <c r="C166" s="426">
        <f>SUMIF('1.CÁL'!C3:C5,"PK",'1.CÁL'!I11:I13)</f>
        <v>0</v>
      </c>
      <c r="D166" s="426"/>
    </row>
    <row r="167">
      <c r="B167" s="259" t="s">
        <v>286</v>
      </c>
    </row>
    <row r="168">
      <c r="B168" s="259" t="s">
        <v>287</v>
      </c>
      <c r="C168" s="238" t="str">
        <f>IF(C169="Existente","Existente","falta contacto proveedor")</f>
        <v>falta contacto proveedor</v>
      </c>
    </row>
    <row r="169">
      <c r="B169" s="259" t="s">
        <v>288</v>
      </c>
      <c r="C169" s="285" t="s">
        <v>289</v>
      </c>
    </row>
    <row r="170">
      <c r="B170" s="259" t="s">
        <v>290</v>
      </c>
      <c r="C170" s="285"/>
    </row>
    <row r="171">
      <c r="B171" s="259" t="s">
        <v>291</v>
      </c>
      <c r="C171" s="285"/>
    </row>
    <row r="172">
      <c r="B172" s="259" t="s">
        <v>295</v>
      </c>
    </row>
    <row r="175">
      <c r="B175" s="439" t="s">
        <v>304</v>
      </c>
      <c r="D175" s="424" t="str">
        <f>IFERROR(IF((COUNTIFS('1.CÁL'!$C$3:$C$5,"PL") - COUNTIFS('1.CÁL'!$C$3:$C$5,"PL",'1.CÁL'!$AD$3:$AD$5,"NO"))&gt;0,"REQUIERE PERMISO","SIN PERMISO"),"REVISAR")</f>
        <v>SIN PERMISO</v>
      </c>
    </row>
    <row r="176">
      <c r="B176" s="259" t="s">
        <v>278</v>
      </c>
      <c r="C176" s="238">
        <f>COUNTIF('1.CÁL'!C3:C5,"PL")</f>
        <v>0</v>
      </c>
    </row>
    <row r="177">
      <c r="B177" s="259" t="s">
        <v>279</v>
      </c>
      <c r="C177" s="285" t="s">
        <v>144</v>
      </c>
      <c r="D177" s="425" t="s">
        <v>144</v>
      </c>
      <c r="E177" s="425" t="s">
        <v>281</v>
      </c>
    </row>
    <row r="178">
      <c r="B178" s="259" t="s">
        <v>282</v>
      </c>
      <c r="C178" s="426">
        <f>SUMIF('1.CÁL'!C3:C5,"PL",'1.CÁL'!O3:O5)</f>
        <v>0</v>
      </c>
      <c r="D178" s="427">
        <f>SUMIF(C177,"USD",C180)</f>
        <v>0</v>
      </c>
      <c r="E178" s="428">
        <f>SUMIF(C177,"RMB",C180)*6.8</f>
        <v>0</v>
      </c>
    </row>
    <row r="179">
      <c r="B179" s="259" t="s">
        <v>283</v>
      </c>
      <c r="C179" s="426">
        <f>SUMIF('1.CÁL'!C3:C5,"PL",'1.CÁL'!T3:T5)</f>
        <v>0</v>
      </c>
      <c r="D179" s="429"/>
      <c r="E179" s="429"/>
    </row>
    <row r="180">
      <c r="B180" s="259" t="s">
        <v>284</v>
      </c>
      <c r="C180" s="426">
        <f>C178+C179</f>
        <v>0</v>
      </c>
      <c r="D180" s="426"/>
    </row>
    <row r="181">
      <c r="B181" s="259" t="s">
        <v>285</v>
      </c>
      <c r="C181" s="426">
        <f>SUMIF('1.CÁL'!C3:C5,"PL",'1.CÁL'!I11:I13)</f>
        <v>0</v>
      </c>
      <c r="D181" s="426"/>
    </row>
    <row r="182">
      <c r="B182" s="259" t="s">
        <v>286</v>
      </c>
    </row>
    <row r="183">
      <c r="B183" s="259" t="s">
        <v>287</v>
      </c>
      <c r="C183" s="238" t="str">
        <f>IF(C184="Existente","Existente","falta contacto proveedor")</f>
        <v>falta contacto proveedor</v>
      </c>
    </row>
    <row r="184">
      <c r="B184" s="259" t="s">
        <v>288</v>
      </c>
      <c r="C184" s="285" t="s">
        <v>289</v>
      </c>
    </row>
    <row r="185">
      <c r="B185" s="259" t="s">
        <v>290</v>
      </c>
      <c r="C185" s="285"/>
    </row>
    <row r="186">
      <c r="B186" s="259" t="s">
        <v>291</v>
      </c>
      <c r="C186" s="285"/>
    </row>
    <row r="187">
      <c r="B187" s="259" t="s">
        <v>295</v>
      </c>
    </row>
    <row r="190">
      <c r="B190" s="431" t="s">
        <v>305</v>
      </c>
      <c r="D190" s="424" t="str">
        <f>IFERROR(IF((COUNTIFS('1.CÁL'!$C$3:$C$5,"PM") - COUNTIFS('1.CÁL'!$C$3:$C$5,"PM",'1.CÁL'!$AD$3:$AD$5,"NO"))&gt;0,"REQUIERE PERMISO","SIN PERMISO"),"REVISAR")</f>
        <v>SIN PERMISO</v>
      </c>
    </row>
    <row r="191">
      <c r="B191" s="259" t="s">
        <v>278</v>
      </c>
      <c r="C191" s="238">
        <f>COUNTIF('1.CÁL'!C3:C5,"PM")</f>
        <v>0</v>
      </c>
    </row>
    <row r="192">
      <c r="B192" s="259" t="s">
        <v>279</v>
      </c>
      <c r="C192" s="285" t="s">
        <v>144</v>
      </c>
      <c r="D192" s="425" t="s">
        <v>144</v>
      </c>
      <c r="E192" s="425" t="s">
        <v>281</v>
      </c>
    </row>
    <row r="193">
      <c r="B193" s="259" t="s">
        <v>282</v>
      </c>
      <c r="C193" s="426">
        <f>SUMIF('1.CÁL'!C3:C5,"PM",'1.CÁL'!O3:O5)</f>
        <v>0</v>
      </c>
      <c r="D193" s="427">
        <f>SUMIF(C192,"USD",C195)</f>
        <v>0</v>
      </c>
      <c r="E193" s="428">
        <f>SUMIF(C192,"RMB",C195)*6.8</f>
        <v>0</v>
      </c>
    </row>
    <row r="194" ht="15.75" customHeight="1">
      <c r="B194" s="259" t="s">
        <v>283</v>
      </c>
      <c r="C194" s="426">
        <f>SUMIF('1.CÁL'!C3:C5,"PM",'1.CÁL'!T3:T5)</f>
        <v>0</v>
      </c>
      <c r="D194" s="429"/>
      <c r="E194" s="429"/>
    </row>
    <row r="195">
      <c r="B195" s="259" t="s">
        <v>284</v>
      </c>
      <c r="C195" s="426">
        <f>C193+C194</f>
        <v>0</v>
      </c>
      <c r="D195" s="426"/>
    </row>
    <row r="196">
      <c r="B196" s="259" t="s">
        <v>285</v>
      </c>
      <c r="C196" s="426">
        <f>SUMIF('1.CÁL'!C3:C5,"PM",'1.CÁL'!I11:I13)</f>
        <v>0</v>
      </c>
      <c r="D196" s="426"/>
    </row>
    <row r="197">
      <c r="B197" s="259" t="s">
        <v>286</v>
      </c>
    </row>
    <row r="198">
      <c r="B198" s="259" t="s">
        <v>287</v>
      </c>
      <c r="C198" s="238" t="str">
        <f>IF(C199="Existente","Existente","falta contacto proveedor")</f>
        <v>falta contacto proveedor</v>
      </c>
    </row>
    <row r="199">
      <c r="B199" s="259" t="s">
        <v>288</v>
      </c>
      <c r="C199" s="285" t="s">
        <v>289</v>
      </c>
    </row>
    <row r="200">
      <c r="B200" s="259" t="s">
        <v>290</v>
      </c>
      <c r="C200" s="285"/>
    </row>
    <row r="201">
      <c r="B201" s="259" t="s">
        <v>291</v>
      </c>
      <c r="C201" s="285"/>
    </row>
    <row r="202">
      <c r="B202" s="259" t="s">
        <v>295</v>
      </c>
    </row>
    <row r="205">
      <c r="B205" s="440" t="s">
        <v>306</v>
      </c>
      <c r="D205" s="424" t="str">
        <f>IFERROR(IF((COUNTIFS('1.CÁL'!$C$3:$C$5,"PN") - COUNTIFS('1.CÁL'!$C$3:$C$5,"PN",'1.CÁL'!$AD$3:$AD$5,"NO"))&gt;0,"REQUIERE PERMISO","SIN PERMISO"),"REVISAR")</f>
        <v>SIN PERMISO</v>
      </c>
    </row>
    <row r="206">
      <c r="B206" s="259" t="s">
        <v>278</v>
      </c>
      <c r="C206" s="238">
        <f>COUNTIF('1.CÁL'!C3:C5,"PN")</f>
        <v>0</v>
      </c>
    </row>
    <row r="207">
      <c r="B207" s="259" t="s">
        <v>279</v>
      </c>
      <c r="C207" s="285" t="s">
        <v>144</v>
      </c>
      <c r="D207" s="425" t="s">
        <v>144</v>
      </c>
      <c r="E207" s="425" t="s">
        <v>281</v>
      </c>
    </row>
    <row r="208">
      <c r="B208" s="259" t="s">
        <v>282</v>
      </c>
      <c r="C208" s="426">
        <f>SUMIF('1.CÁL'!C3:C5,"PN",'1.CÁL'!O3:O5)</f>
        <v>0</v>
      </c>
      <c r="D208" s="427">
        <f>SUMIF(C207,"USD",C210)</f>
        <v>0</v>
      </c>
      <c r="E208" s="428">
        <f>SUMIF(C207,"RMB",C210)*6.8</f>
        <v>0</v>
      </c>
    </row>
    <row r="209">
      <c r="B209" s="259" t="s">
        <v>283</v>
      </c>
      <c r="C209" s="426">
        <f>SUMIF('1.CÁL'!C3:C5,"PN",'1.CÁL'!T3:T5)</f>
        <v>0</v>
      </c>
      <c r="D209" s="429"/>
      <c r="E209" s="429"/>
    </row>
    <row r="210">
      <c r="B210" s="259" t="s">
        <v>284</v>
      </c>
      <c r="C210" s="426">
        <f>C208+C209</f>
        <v>0</v>
      </c>
      <c r="D210" s="426"/>
    </row>
    <row r="211">
      <c r="B211" s="259" t="s">
        <v>285</v>
      </c>
      <c r="C211" s="426">
        <f>SUMIF('1.CÁL'!C3:C5,"PN",'1.CÁL'!I11:I13)</f>
        <v>0</v>
      </c>
      <c r="D211" s="426"/>
    </row>
    <row r="212">
      <c r="B212" s="259" t="s">
        <v>286</v>
      </c>
    </row>
    <row r="213">
      <c r="B213" s="259" t="s">
        <v>287</v>
      </c>
      <c r="C213" s="238" t="str">
        <f>IF(C214="Existente","Existente","falta contacto proveedor")</f>
        <v>falta contacto proveedor</v>
      </c>
    </row>
    <row r="214">
      <c r="B214" s="259" t="s">
        <v>288</v>
      </c>
      <c r="C214" s="285" t="s">
        <v>289</v>
      </c>
    </row>
    <row r="215">
      <c r="B215" s="259" t="s">
        <v>290</v>
      </c>
      <c r="C215" s="285"/>
    </row>
    <row r="216">
      <c r="B216" s="259" t="s">
        <v>291</v>
      </c>
      <c r="C216" s="285"/>
    </row>
    <row r="217">
      <c r="B217" s="259" t="s">
        <v>295</v>
      </c>
    </row>
    <row r="220">
      <c r="B220" s="441" t="s">
        <v>307</v>
      </c>
      <c r="D220" s="424" t="str">
        <f>IFERROR(IF((COUNTIFS('1.CÁL'!$C$3:$C$5,"PO") - COUNTIFS('1.CÁL'!$C$3:$C$5,"PO",'1.CÁL'!$AD$3:$AD$5,"NO"))&gt;0,"REQUIERE PERMISO","SIN PERMISO"),"REVISAR")</f>
        <v>SIN PERMISO</v>
      </c>
    </row>
    <row r="221">
      <c r="B221" s="259" t="s">
        <v>278</v>
      </c>
      <c r="C221" s="238">
        <f>COUNTIF('1.CÁL'!C3:C5,"PO")</f>
        <v>0</v>
      </c>
    </row>
    <row r="222">
      <c r="B222" s="259" t="s">
        <v>279</v>
      </c>
      <c r="C222" s="285" t="s">
        <v>144</v>
      </c>
      <c r="D222" s="425" t="s">
        <v>144</v>
      </c>
      <c r="E222" s="425" t="s">
        <v>281</v>
      </c>
    </row>
    <row r="223">
      <c r="B223" s="259" t="s">
        <v>282</v>
      </c>
      <c r="C223" s="426">
        <f>SUMIF('1.CÁL'!C3:C5,"PO",'1.CÁL'!O3:O5)</f>
        <v>0</v>
      </c>
      <c r="D223" s="427">
        <f>SUMIF(C222,"USD",C225)</f>
        <v>0</v>
      </c>
      <c r="E223" s="428">
        <f>SUMIF(C222,"RMB",C225)*6.8</f>
        <v>0</v>
      </c>
    </row>
    <row r="224">
      <c r="B224" s="259" t="s">
        <v>283</v>
      </c>
      <c r="C224" s="426">
        <f>SUMIF('1.CÁL'!C3:C5,"PO",'1.CÁL'!T3:T5)</f>
        <v>0</v>
      </c>
      <c r="D224" s="429"/>
      <c r="E224" s="429"/>
    </row>
    <row r="225">
      <c r="B225" s="259" t="s">
        <v>284</v>
      </c>
      <c r="C225" s="426">
        <f>C223+C224</f>
        <v>0</v>
      </c>
      <c r="D225" s="426"/>
    </row>
    <row r="226">
      <c r="B226" s="259" t="s">
        <v>285</v>
      </c>
      <c r="C226" s="426">
        <f>SUMIF('1.CÁL'!C3:C5,"PO",'1.CÁL'!I11:I13)</f>
        <v>0</v>
      </c>
      <c r="D226" s="426"/>
    </row>
    <row r="227">
      <c r="B227" s="259" t="s">
        <v>286</v>
      </c>
    </row>
    <row r="228">
      <c r="B228" s="259" t="s">
        <v>287</v>
      </c>
      <c r="C228" s="238" t="str">
        <f>IF(C229="Existente","Existente","falta contacto proveedor")</f>
        <v>falta contacto proveedor</v>
      </c>
    </row>
    <row r="229">
      <c r="B229" s="259" t="s">
        <v>288</v>
      </c>
      <c r="C229" s="285" t="s">
        <v>289</v>
      </c>
    </row>
    <row r="230">
      <c r="B230" s="259" t="s">
        <v>290</v>
      </c>
      <c r="C230" s="285"/>
    </row>
    <row r="231">
      <c r="B231" s="259" t="s">
        <v>291</v>
      </c>
      <c r="C231" s="285"/>
    </row>
    <row r="232">
      <c r="B232" s="259" t="s">
        <v>295</v>
      </c>
    </row>
    <row r="235">
      <c r="B235" s="442" t="s">
        <v>308</v>
      </c>
      <c r="D235" s="424" t="str">
        <f>IFERROR(IF((COUNTIFS('1.CÁL'!$C$3:$C$5,"PP") - COUNTIFS('1.CÁL'!$C$3:$C$5,"PP",'1.CÁL'!$AD$3:$AD$5,"NO"))&gt;0,"REQUIERE PERMISO","SIN PERMISO"),"REVISAR")</f>
        <v>SIN PERMISO</v>
      </c>
    </row>
    <row r="236">
      <c r="B236" s="259" t="s">
        <v>278</v>
      </c>
      <c r="C236" s="238">
        <f>COUNTIF('1.CÁL'!C3:C5,"PP")</f>
        <v>0</v>
      </c>
    </row>
    <row r="237">
      <c r="B237" s="259" t="s">
        <v>279</v>
      </c>
      <c r="C237" s="285" t="s">
        <v>144</v>
      </c>
      <c r="D237" s="425" t="s">
        <v>144</v>
      </c>
      <c r="E237" s="425" t="s">
        <v>281</v>
      </c>
    </row>
    <row r="238">
      <c r="B238" s="259" t="s">
        <v>282</v>
      </c>
      <c r="C238" s="426">
        <f>SUMIF('1.CÁL'!C3:C5,"PP",'1.CÁL'!O3:O5)</f>
        <v>0</v>
      </c>
      <c r="D238" s="427">
        <f>SUMIF(C237,"USD",C240)</f>
        <v>0</v>
      </c>
      <c r="E238" s="428">
        <f>SUMIF(C237,"RMB",C240)*6.8</f>
        <v>0</v>
      </c>
    </row>
    <row r="239">
      <c r="B239" s="259" t="s">
        <v>283</v>
      </c>
      <c r="C239" s="426">
        <f>SUMIF('1.CÁL'!C3:C5,"PP",'1.CÁL'!T3:T5)</f>
        <v>0</v>
      </c>
      <c r="D239" s="429"/>
      <c r="E239" s="429"/>
    </row>
    <row r="240">
      <c r="B240" s="259" t="s">
        <v>284</v>
      </c>
      <c r="C240" s="426">
        <f>C238+C239</f>
        <v>0</v>
      </c>
      <c r="D240" s="426"/>
    </row>
    <row r="241">
      <c r="B241" s="259" t="s">
        <v>285</v>
      </c>
      <c r="C241" s="426">
        <f>SUMIF('1.CÁL'!C3:C5,"PP",'1.CÁL'!I11:I13)</f>
        <v>0</v>
      </c>
      <c r="D241" s="426"/>
    </row>
    <row r="242">
      <c r="B242" s="259" t="s">
        <v>286</v>
      </c>
    </row>
    <row r="243">
      <c r="B243" s="259" t="s">
        <v>287</v>
      </c>
    </row>
    <row r="244">
      <c r="B244" s="259" t="s">
        <v>290</v>
      </c>
      <c r="C244" s="285"/>
    </row>
    <row r="245">
      <c r="B245" s="259" t="s">
        <v>291</v>
      </c>
      <c r="C245" s="285"/>
    </row>
    <row r="246">
      <c r="B246" s="259" t="s">
        <v>295</v>
      </c>
    </row>
    <row r="249">
      <c r="B249" s="438" t="s">
        <v>309</v>
      </c>
      <c r="D249" s="424" t="str">
        <f>IFERROR(IF((COUNTIFS('1.CÁL'!$C$3:$C$5,"PQ") - COUNTIFS('1.CÁL'!$C$3:$C$5,"PQ",'1.CÁL'!$AD$3:$AD$5,"NO"))&gt;0,"REQUIERE PERMISO","SIN PERMISO"),"REVISAR")</f>
        <v>SIN PERMISO</v>
      </c>
    </row>
    <row r="250">
      <c r="B250" s="259" t="s">
        <v>278</v>
      </c>
      <c r="C250" s="238">
        <f>COUNTIF('1.CÁL'!C3:C5,"PQ")</f>
        <v>0</v>
      </c>
    </row>
    <row r="251">
      <c r="B251" s="259" t="s">
        <v>279</v>
      </c>
      <c r="C251" s="285" t="s">
        <v>144</v>
      </c>
      <c r="D251" s="425" t="s">
        <v>144</v>
      </c>
      <c r="E251" s="425" t="s">
        <v>281</v>
      </c>
    </row>
    <row r="252">
      <c r="B252" s="259" t="s">
        <v>282</v>
      </c>
      <c r="C252" s="426">
        <f>SUMIF('1.CÁL'!C3:C5,"PQ",'1.CÁL'!O3:O5)</f>
        <v>0</v>
      </c>
      <c r="D252" s="427">
        <f>SUMIF(C251,"USD",C254)</f>
        <v>0</v>
      </c>
      <c r="E252" s="428">
        <f>SUMIF(C251,"RMB",C254)*6.8</f>
        <v>0</v>
      </c>
    </row>
    <row r="253">
      <c r="B253" s="259" t="s">
        <v>283</v>
      </c>
      <c r="C253" s="426">
        <f>SUMIF('1.CÁL'!C3:C5,"PQ",'1.CÁL'!T3:T5)</f>
        <v>0</v>
      </c>
      <c r="D253" s="429"/>
      <c r="E253" s="429"/>
    </row>
    <row r="254">
      <c r="B254" s="259" t="s">
        <v>284</v>
      </c>
      <c r="C254" s="426">
        <f>C252+C253</f>
        <v>0</v>
      </c>
      <c r="D254" s="426"/>
    </row>
    <row r="255">
      <c r="B255" s="259" t="s">
        <v>285</v>
      </c>
      <c r="C255" s="426">
        <f>SUMIF('1.CÁL'!C3:C5,"PQ",'1.CÁL'!I11:I13)</f>
        <v>0</v>
      </c>
      <c r="D255" s="426"/>
    </row>
    <row r="256">
      <c r="B256" s="259" t="s">
        <v>286</v>
      </c>
    </row>
    <row r="257">
      <c r="B257" s="259" t="s">
        <v>287</v>
      </c>
    </row>
    <row r="258">
      <c r="B258" s="259" t="s">
        <v>290</v>
      </c>
      <c r="C258" s="285"/>
    </row>
    <row r="259">
      <c r="B259" s="259" t="s">
        <v>291</v>
      </c>
      <c r="C259" s="285"/>
    </row>
    <row r="260">
      <c r="B260" s="259" t="s">
        <v>295</v>
      </c>
    </row>
    <row r="264">
      <c r="B264" s="443" t="s">
        <v>310</v>
      </c>
      <c r="D264" s="424" t="str">
        <f>IFERROR(IF((COUNTIFS('1.CÁL'!$C$3:$C$5,"PR") - COUNTIFS('1.CÁL'!$C$3:$C$5,"PR",'1.CÁL'!$AD$3:$AD$5,"NO"))&gt;0,"REQUIERE PERMISO","SIN PERMISO"),"REVISAR")</f>
        <v>SIN PERMISO</v>
      </c>
    </row>
    <row r="265">
      <c r="B265" s="259" t="s">
        <v>278</v>
      </c>
      <c r="C265" s="238">
        <f>COUNTIF('1.CÁL'!C3:C5,"PR")</f>
        <v>0</v>
      </c>
    </row>
    <row r="266">
      <c r="B266" s="259" t="s">
        <v>279</v>
      </c>
      <c r="C266" s="285" t="s">
        <v>280</v>
      </c>
      <c r="D266" s="425" t="s">
        <v>144</v>
      </c>
      <c r="E266" s="425" t="s">
        <v>281</v>
      </c>
    </row>
    <row r="267">
      <c r="B267" s="259" t="s">
        <v>282</v>
      </c>
      <c r="C267" s="426">
        <f>SUMIF('1.CÁL'!C3:C5,"PR",'1.CÁL'!O3:O5)</f>
        <v>0</v>
      </c>
      <c r="D267" s="427">
        <f>SUMIF(C266,"USD",C269)</f>
        <v>0</v>
      </c>
      <c r="E267" s="428">
        <f>SUMIF(C266,"RMB",C269)*6.8</f>
        <v>0</v>
      </c>
    </row>
    <row r="268">
      <c r="B268" s="259" t="s">
        <v>283</v>
      </c>
      <c r="C268" s="426">
        <f>SUMIF('1.CÁL'!C3:C5,"PR",'1.CÁL'!T3:T5)</f>
        <v>0</v>
      </c>
      <c r="D268" s="429"/>
      <c r="E268" s="429"/>
    </row>
    <row r="269">
      <c r="B269" s="259" t="s">
        <v>284</v>
      </c>
      <c r="C269" s="426">
        <f>C267+C268</f>
        <v>0</v>
      </c>
      <c r="D269" s="426"/>
    </row>
    <row r="270">
      <c r="B270" s="259" t="s">
        <v>285</v>
      </c>
      <c r="C270" s="426">
        <f>SUMIF('1.CÁL'!C3:C5,"PR",'1.CÁL'!I11:I13)</f>
        <v>0</v>
      </c>
      <c r="D270" s="426"/>
    </row>
    <row r="271">
      <c r="B271" s="259" t="s">
        <v>286</v>
      </c>
    </row>
    <row r="272">
      <c r="B272" s="259" t="s">
        <v>287</v>
      </c>
    </row>
    <row r="273">
      <c r="B273" s="259" t="s">
        <v>290</v>
      </c>
      <c r="C273" s="285"/>
    </row>
    <row r="274">
      <c r="B274" s="259" t="s">
        <v>291</v>
      </c>
      <c r="C274" s="285"/>
    </row>
    <row r="275">
      <c r="B275" s="259" t="s">
        <v>295</v>
      </c>
    </row>
  </sheetData>
  <mergeCells count="73">
    <mergeCell ref="B190:C190"/>
    <mergeCell ref="D190:E190"/>
    <mergeCell ref="D193:D194"/>
    <mergeCell ref="E193:E194"/>
    <mergeCell ref="D205:E205"/>
    <mergeCell ref="D208:D209"/>
    <mergeCell ref="E208:E209"/>
    <mergeCell ref="B205:C205"/>
    <mergeCell ref="B220:C220"/>
    <mergeCell ref="D220:E220"/>
    <mergeCell ref="D223:D224"/>
    <mergeCell ref="E223:E224"/>
    <mergeCell ref="B235:C235"/>
    <mergeCell ref="D235:E235"/>
    <mergeCell ref="D264:E264"/>
    <mergeCell ref="D267:D268"/>
    <mergeCell ref="E267:E268"/>
    <mergeCell ref="D238:D239"/>
    <mergeCell ref="E238:E239"/>
    <mergeCell ref="B249:C249"/>
    <mergeCell ref="D249:E249"/>
    <mergeCell ref="D252:D253"/>
    <mergeCell ref="E252:E253"/>
    <mergeCell ref="B264:C264"/>
    <mergeCell ref="B2:G2"/>
    <mergeCell ref="B11:C11"/>
    <mergeCell ref="D11:E11"/>
    <mergeCell ref="D14:D15"/>
    <mergeCell ref="E14:E15"/>
    <mergeCell ref="B26:C26"/>
    <mergeCell ref="D26:E26"/>
    <mergeCell ref="D29:D30"/>
    <mergeCell ref="E29:E30"/>
    <mergeCell ref="B41:C41"/>
    <mergeCell ref="D41:E41"/>
    <mergeCell ref="D44:D45"/>
    <mergeCell ref="E44:E45"/>
    <mergeCell ref="B56:C56"/>
    <mergeCell ref="D56:E56"/>
    <mergeCell ref="D59:D60"/>
    <mergeCell ref="E59:E60"/>
    <mergeCell ref="B71:C71"/>
    <mergeCell ref="D71:E71"/>
    <mergeCell ref="D74:D75"/>
    <mergeCell ref="E74:E75"/>
    <mergeCell ref="B85:C85"/>
    <mergeCell ref="D85:E85"/>
    <mergeCell ref="D88:D89"/>
    <mergeCell ref="E88:E89"/>
    <mergeCell ref="D100:E100"/>
    <mergeCell ref="D103:D104"/>
    <mergeCell ref="E103:E104"/>
    <mergeCell ref="B100:C100"/>
    <mergeCell ref="B115:C115"/>
    <mergeCell ref="D115:E115"/>
    <mergeCell ref="D118:D119"/>
    <mergeCell ref="E118:E119"/>
    <mergeCell ref="B130:C130"/>
    <mergeCell ref="D130:E130"/>
    <mergeCell ref="D133:D134"/>
    <mergeCell ref="E133:E134"/>
    <mergeCell ref="B145:C145"/>
    <mergeCell ref="D145:E145"/>
    <mergeCell ref="D148:D149"/>
    <mergeCell ref="E148:E149"/>
    <mergeCell ref="B160:C160"/>
    <mergeCell ref="D160:E160"/>
    <mergeCell ref="D163:D164"/>
    <mergeCell ref="E163:E164"/>
    <mergeCell ref="B175:C175"/>
    <mergeCell ref="D175:E175"/>
    <mergeCell ref="D178:D179"/>
    <mergeCell ref="E178:E179"/>
  </mergeCells>
  <conditionalFormatting sqref="C3 E14 E29 E44 E59 E74 E88 E103 E118 E133 E148 E163 E178 E193 E208 E223 E238 E252 E267">
    <cfRule type="containsBlanks" dxfId="4" priority="1">
      <formula>LEN(TRIM(C3))=0</formula>
    </cfRule>
  </conditionalFormatting>
  <conditionalFormatting sqref="E14 E29 E44 E59 E74 E88 E103 E118 E133 E148 E163 E178 E193 E208 E223 E238 E252 E267">
    <cfRule type="containsBlanks" dxfId="4" priority="2">
      <formula>LEN(TRIM(E14))=0</formula>
    </cfRule>
  </conditionalFormatting>
  <conditionalFormatting sqref="E14 E29 E44 E59 E74 E88 E103 E118 E133 E148 E163 E178 E193 E208 E223 E238 E252 E267">
    <cfRule type="containsBlanks" dxfId="4" priority="3">
      <formula>LEN(TRIM(E14))=0</formula>
    </cfRule>
  </conditionalFormatting>
  <conditionalFormatting sqref="G3">
    <cfRule type="containsText" dxfId="23" priority="4" operator="containsText" text="ESCRIBIR DATOS COMPLETOS">
      <formula>NOT(ISERROR(SEARCH(("ESCRIBIR DATOS COMPLETOS"),(G3))))</formula>
    </cfRule>
  </conditionalFormatting>
  <conditionalFormatting sqref="G10:G11">
    <cfRule type="notContainsBlanks" dxfId="22" priority="5">
      <formula>LEN(TRIM(G10))&gt;0</formula>
    </cfRule>
  </conditionalFormatting>
  <conditionalFormatting sqref="G4">
    <cfRule type="containsText" dxfId="22" priority="6" operator="containsText" text="CLIENTE EXISTENTE, PONER SOLO NOMBRE DE LA CUENTA">
      <formula>NOT(ISERROR(SEARCH(("CLIENTE EXISTENTE, PONER SOLO NOMBRE DE LA CUENTA"),(G4))))</formula>
    </cfRule>
  </conditionalFormatting>
  <conditionalFormatting sqref="C19 C34 C49 C64 C93 C108 C123 C138 C153 C168 C183 C198 C213 C228">
    <cfRule type="containsText" dxfId="23" priority="7" operator="containsText" text="falta contacto proveedor">
      <formula>NOT(ISERROR(SEARCH(("falta contacto proveedor"),(C19))))</formula>
    </cfRule>
  </conditionalFormatting>
  <conditionalFormatting sqref="D11:E11 D26:E26 D41:E41 D56:E56 D71:E71 D85:E85 D100:E100 D115:E115 D130:E130 D145:E145 D160:E160 D175:E175 D190:E190 D205:E205 D220:E220 D235:E235 D249:E249 D264:E264">
    <cfRule type="containsText" dxfId="29" priority="8" operator="containsText" text="REQUIERE PERMISO">
      <formula>NOT(ISERROR(SEARCH(("REQUIERE PERMISO"),(D11))))</formula>
    </cfRule>
  </conditionalFormatting>
  <conditionalFormatting sqref="D11:E11 D26:E26 D41:E41 D56:E56 D71:E71 D85:E85 D100:E100 D115:E115 D130:E130 D145:E145 D160:E160 D175:E175 D190:E190 D205:E205 D220:E220 D235:E235 D249:E249 D264:E264">
    <cfRule type="containsText" dxfId="30" priority="9" operator="containsText" text="REVISAR">
      <formula>NOT(ISERROR(SEARCH(("REVISAR"),(D11))))</formula>
    </cfRule>
  </conditionalFormatting>
  <dataValidations>
    <dataValidation type="list" allowBlank="1" sqref="C21 C36 C51 C66 C80 C95 C110 C125 C140 C155 C170 C185 C200 C215 C230 C244 C258 C273">
      <formula1>"NCESCH,Directo,Futian"</formula1>
    </dataValidation>
    <dataValidation type="list" allowBlank="1" sqref="C22 C37 C52 C67 C81 C96 C111 C126 C141 C156 C171 C186 C201 C216 C231 C245 C259 C274">
      <formula1>"Asesor,Cliente,Cot China,Cot Ecuador"</formula1>
    </dataValidation>
    <dataValidation type="list" allowBlank="1" sqref="C3">
      <formula1>"01 Denisse De la Cruz,02 Margarita Carpio,03 Gabriela Nuñez,04 Marly Morán,05 Karina Vivas,06 Daniel Benitez,07 Marilyn Cajas,08 María José Rosas,09 Jhonny López,11 Sami Cachinguango,13 Ivis Anchundia,14 Damaris Ñacato,15 Veyda Isvannath "</formula1>
    </dataValidation>
    <dataValidation type="list" allowBlank="1" sqref="C13 C28 C43 C58 C73 C87 C102 C117 C132 C147 C162 C177 C192 C207 C222 C237 C251 C266">
      <formula1>"USD,RMB"</formula1>
    </dataValidation>
    <dataValidation type="list" allowBlank="1" sqref="C20 C35 C50 C65 C94 C109 C124 C139 C154 C169 C184 C199 C214 C229">
      <formula1>"Nuevo,Existente"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4" max="14" width="15.14"/>
  </cols>
  <sheetData>
    <row r="1">
      <c r="A1" s="444" t="s">
        <v>311</v>
      </c>
      <c r="B1" s="445" t="s">
        <v>312</v>
      </c>
      <c r="C1" s="444" t="s">
        <v>313</v>
      </c>
      <c r="D1" s="444" t="s">
        <v>314</v>
      </c>
      <c r="E1" s="446" t="s">
        <v>315</v>
      </c>
      <c r="F1" s="447" t="s">
        <v>316</v>
      </c>
      <c r="G1" s="445" t="s">
        <v>317</v>
      </c>
      <c r="H1" s="448" t="s">
        <v>318</v>
      </c>
      <c r="I1" s="449" t="s">
        <v>319</v>
      </c>
      <c r="J1" s="447" t="s">
        <v>320</v>
      </c>
      <c r="K1" s="447" t="s">
        <v>321</v>
      </c>
      <c r="L1" s="447" t="s">
        <v>233</v>
      </c>
      <c r="M1" s="447" t="s">
        <v>322</v>
      </c>
      <c r="N1" s="450" t="s">
        <v>323</v>
      </c>
      <c r="O1" s="450" t="s">
        <v>324</v>
      </c>
      <c r="P1" s="447" t="s">
        <v>325</v>
      </c>
      <c r="Q1" s="447" t="s">
        <v>326</v>
      </c>
      <c r="R1" s="450" t="s">
        <v>327</v>
      </c>
      <c r="S1" s="451"/>
    </row>
    <row r="2">
      <c r="A2" s="238"/>
      <c r="B2" s="452" t="str">
        <f>'1.CÁL'!D3</f>
        <v/>
      </c>
      <c r="C2" s="452" t="str">
        <f>CONCATENATE(ROW()-1,") ",LEFT('1.CÁL'!H3,70))</f>
        <v>1) </v>
      </c>
      <c r="D2" s="453" t="str">
        <f>IF('1.CÁL'!G3="",C2,CONCATENATE(ROW()-1,") ",LEFT('1.CÁL'!G3,140)))</f>
        <v>1) </v>
      </c>
      <c r="E2" s="259" t="s">
        <v>328</v>
      </c>
      <c r="F2" s="454" t="str">
        <f>'1.CÁL'!F3</f>
        <v>https://drive.google.com/uc?export=view&amp;id=1vcrZn_OLPxflHITc9KAVYfonNcP_7xys</v>
      </c>
      <c r="G2" s="238" t="str">
        <f>MID('1.CÁL'!A3,1,250)</f>
        <v/>
      </c>
      <c r="H2" s="259" t="s">
        <v>329</v>
      </c>
      <c r="I2" s="455" t="s">
        <v>330</v>
      </c>
      <c r="J2" s="238" t="str">
        <f>TRIM(CONCATENATE(TRIM('1.CÁL'!AB3),"_",'1.CÁL'!AC3))</f>
        <v>_</v>
      </c>
      <c r="L2" s="456">
        <f>'1.CÁL'!L3</f>
        <v>1</v>
      </c>
      <c r="M2" s="238" t="str">
        <f>'1.CÁL'!I3</f>
        <v>PZA</v>
      </c>
      <c r="N2" s="457" t="str">
        <f>IF('1.CÁL'!$W$14&lt;3000,'1.CÁL'!Z11,'1.CÁL'!X11)</f>
        <v>#DIV/0!</v>
      </c>
      <c r="O2" s="458">
        <f>'1.CÁL'!S3</f>
        <v>0</v>
      </c>
      <c r="P2" s="459" t="str">
        <f>'1.CÁL'!R3</f>
        <v/>
      </c>
      <c r="Q2" s="460" t="str">
        <f>IF('1.CÁL'!M3&gt;0,"Yuán","Dólar")</f>
        <v>Dólar</v>
      </c>
      <c r="R2" s="461" t="str">
        <f>IF(Q2="Dólar",'1.CÁL'!N3,'1.CÁL'!M3)</f>
        <v/>
      </c>
      <c r="S2" s="459"/>
    </row>
    <row r="3">
      <c r="A3" s="238"/>
      <c r="E3" s="238"/>
      <c r="I3" s="455" t="str">
        <f>I2</f>
        <v>OP-0000005</v>
      </c>
      <c r="M3" s="238" t="str">
        <f>'1.CÁL'!I4</f>
        <v>PZA</v>
      </c>
      <c r="N3" s="462"/>
      <c r="O3" s="458"/>
      <c r="P3" s="459"/>
      <c r="Q3" s="459"/>
      <c r="R3" s="462"/>
      <c r="S3" s="459"/>
    </row>
    <row r="4">
      <c r="A4" s="238"/>
      <c r="E4" s="238"/>
      <c r="I4" s="455" t="s">
        <v>330</v>
      </c>
      <c r="M4" s="238" t="str">
        <f>'1.CÁL'!I5</f>
        <v>PZA</v>
      </c>
      <c r="N4" s="462"/>
      <c r="O4" s="458"/>
      <c r="P4" s="459"/>
      <c r="Q4" s="459"/>
      <c r="R4" s="462"/>
      <c r="S4" s="459"/>
    </row>
    <row r="5">
      <c r="A5" s="238"/>
      <c r="E5" s="238"/>
      <c r="I5" s="455" t="s">
        <v>330</v>
      </c>
      <c r="M5" s="238"/>
      <c r="N5" s="462"/>
      <c r="O5" s="458"/>
      <c r="P5" s="459"/>
      <c r="Q5" s="459"/>
      <c r="R5" s="462"/>
      <c r="S5" s="459"/>
    </row>
    <row r="6">
      <c r="A6" s="238"/>
      <c r="E6" s="238"/>
      <c r="I6" s="455" t="s">
        <v>330</v>
      </c>
      <c r="M6" s="238"/>
      <c r="N6" s="462"/>
      <c r="O6" s="458"/>
      <c r="P6" s="459"/>
      <c r="Q6" s="459"/>
      <c r="R6" s="462"/>
      <c r="S6" s="459"/>
    </row>
    <row r="7">
      <c r="A7" s="238"/>
      <c r="E7" s="238"/>
      <c r="I7" s="455" t="s">
        <v>330</v>
      </c>
      <c r="M7" s="238"/>
      <c r="N7" s="462"/>
      <c r="O7" s="458"/>
      <c r="P7" s="459"/>
      <c r="Q7" s="459"/>
      <c r="R7" s="462"/>
      <c r="S7" s="459"/>
    </row>
    <row r="8">
      <c r="A8" s="238"/>
      <c r="E8" s="238"/>
      <c r="I8" s="455" t="s">
        <v>330</v>
      </c>
      <c r="M8" s="238"/>
      <c r="N8" s="462"/>
      <c r="O8" s="458"/>
      <c r="P8" s="459"/>
      <c r="Q8" s="459"/>
      <c r="R8" s="462"/>
      <c r="S8" s="459"/>
    </row>
    <row r="9">
      <c r="A9" s="238"/>
      <c r="E9" s="238"/>
      <c r="I9" s="455" t="s">
        <v>330</v>
      </c>
      <c r="M9" s="238"/>
      <c r="N9" s="462"/>
      <c r="O9" s="458"/>
      <c r="P9" s="459"/>
      <c r="Q9" s="459"/>
      <c r="R9" s="462"/>
      <c r="S9" s="459"/>
    </row>
    <row r="10">
      <c r="A10" s="238"/>
      <c r="E10" s="238"/>
      <c r="I10" s="455" t="s">
        <v>330</v>
      </c>
      <c r="M10" s="238"/>
      <c r="N10" s="462"/>
      <c r="O10" s="458"/>
      <c r="P10" s="459"/>
      <c r="Q10" s="459"/>
      <c r="R10" s="462"/>
      <c r="S10" s="459"/>
    </row>
    <row r="11">
      <c r="A11" s="238"/>
      <c r="E11" s="238"/>
      <c r="I11" s="455" t="s">
        <v>330</v>
      </c>
      <c r="M11" s="238"/>
      <c r="N11" s="462"/>
      <c r="O11" s="458"/>
      <c r="P11" s="459"/>
      <c r="Q11" s="459"/>
      <c r="R11" s="462"/>
      <c r="S11" s="459"/>
    </row>
    <row r="12">
      <c r="A12" s="238"/>
      <c r="E12" s="238"/>
      <c r="I12" s="455" t="s">
        <v>330</v>
      </c>
      <c r="M12" s="238"/>
      <c r="N12" s="462"/>
      <c r="O12" s="458"/>
      <c r="P12" s="459"/>
      <c r="Q12" s="459"/>
      <c r="R12" s="462"/>
      <c r="S12" s="459"/>
    </row>
    <row r="13">
      <c r="A13" s="238"/>
      <c r="E13" s="238"/>
      <c r="I13" s="455" t="s">
        <v>330</v>
      </c>
      <c r="M13" s="238"/>
      <c r="N13" s="462"/>
      <c r="O13" s="458"/>
      <c r="P13" s="459"/>
      <c r="Q13" s="459"/>
      <c r="R13" s="462"/>
      <c r="S13" s="459"/>
    </row>
    <row r="14">
      <c r="A14" s="238"/>
      <c r="E14" s="238"/>
      <c r="I14" s="455" t="s">
        <v>330</v>
      </c>
      <c r="M14" s="238"/>
      <c r="N14" s="462"/>
      <c r="O14" s="458"/>
      <c r="P14" s="459"/>
      <c r="Q14" s="459"/>
      <c r="R14" s="462"/>
      <c r="S14" s="459"/>
    </row>
    <row r="15">
      <c r="A15" s="238"/>
      <c r="E15" s="238"/>
      <c r="I15" s="455" t="s">
        <v>330</v>
      </c>
      <c r="M15" s="238"/>
      <c r="N15" s="462"/>
      <c r="O15" s="458"/>
      <c r="P15" s="459"/>
      <c r="Q15" s="459"/>
      <c r="R15" s="462"/>
      <c r="S15" s="459"/>
    </row>
    <row r="16">
      <c r="A16" s="238"/>
      <c r="E16" s="238"/>
      <c r="I16" s="455" t="s">
        <v>330</v>
      </c>
      <c r="M16" s="238"/>
      <c r="N16" s="462"/>
      <c r="O16" s="458"/>
      <c r="P16" s="459"/>
      <c r="Q16" s="459"/>
      <c r="R16" s="462"/>
      <c r="S16" s="459"/>
    </row>
    <row r="17">
      <c r="A17" s="238"/>
      <c r="E17" s="238"/>
      <c r="I17" s="455" t="s">
        <v>330</v>
      </c>
      <c r="M17" s="238"/>
      <c r="N17" s="462"/>
      <c r="O17" s="458"/>
      <c r="P17" s="459"/>
      <c r="Q17" s="459"/>
      <c r="R17" s="462"/>
      <c r="S17" s="459"/>
    </row>
    <row r="18">
      <c r="A18" s="238"/>
      <c r="E18" s="238"/>
      <c r="I18" s="455" t="s">
        <v>330</v>
      </c>
      <c r="M18" s="238"/>
      <c r="N18" s="462"/>
      <c r="O18" s="458"/>
      <c r="P18" s="459"/>
      <c r="Q18" s="459"/>
      <c r="R18" s="462"/>
      <c r="S18" s="459"/>
    </row>
    <row r="19">
      <c r="A19" s="238"/>
      <c r="E19" s="238"/>
      <c r="I19" s="455" t="s">
        <v>330</v>
      </c>
      <c r="M19" s="238"/>
      <c r="N19" s="462"/>
      <c r="O19" s="458"/>
      <c r="P19" s="459"/>
      <c r="Q19" s="459"/>
      <c r="R19" s="462"/>
      <c r="S19" s="459"/>
    </row>
    <row r="20">
      <c r="A20" s="238"/>
      <c r="E20" s="238"/>
      <c r="I20" s="455" t="s">
        <v>330</v>
      </c>
      <c r="M20" s="238"/>
      <c r="N20" s="462"/>
      <c r="O20" s="458"/>
      <c r="P20" s="459"/>
      <c r="Q20" s="459"/>
      <c r="R20" s="462"/>
      <c r="S20" s="459"/>
    </row>
    <row r="21">
      <c r="A21" s="238"/>
      <c r="E21" s="238"/>
      <c r="I21" s="455" t="s">
        <v>330</v>
      </c>
      <c r="M21" s="238"/>
      <c r="N21" s="462"/>
      <c r="O21" s="458"/>
      <c r="P21" s="459"/>
      <c r="Q21" s="459"/>
      <c r="R21" s="462"/>
      <c r="S21" s="459"/>
    </row>
    <row r="22">
      <c r="A22" s="238"/>
      <c r="E22" s="238"/>
      <c r="I22" s="455" t="s">
        <v>330</v>
      </c>
      <c r="M22" s="238"/>
      <c r="N22" s="462"/>
      <c r="O22" s="458"/>
      <c r="P22" s="459"/>
      <c r="Q22" s="459"/>
      <c r="R22" s="462"/>
      <c r="S22" s="459"/>
    </row>
    <row r="23">
      <c r="A23" s="238"/>
      <c r="E23" s="238"/>
      <c r="I23" s="455" t="s">
        <v>330</v>
      </c>
      <c r="M23" s="238"/>
      <c r="N23" s="462"/>
      <c r="O23" s="458"/>
      <c r="P23" s="459"/>
      <c r="Q23" s="459"/>
      <c r="R23" s="462"/>
      <c r="S23" s="459"/>
    </row>
    <row r="24">
      <c r="A24" s="238"/>
      <c r="E24" s="238"/>
      <c r="I24" s="455" t="s">
        <v>330</v>
      </c>
      <c r="M24" s="238"/>
      <c r="N24" s="462"/>
      <c r="O24" s="458"/>
      <c r="P24" s="459"/>
      <c r="Q24" s="459"/>
      <c r="R24" s="462"/>
      <c r="S24" s="459"/>
    </row>
    <row r="25">
      <c r="A25" s="238"/>
      <c r="E25" s="238"/>
      <c r="I25" s="455" t="s">
        <v>330</v>
      </c>
      <c r="M25" s="238"/>
      <c r="N25" s="462"/>
      <c r="O25" s="458"/>
      <c r="P25" s="459"/>
      <c r="Q25" s="459"/>
      <c r="R25" s="462"/>
      <c r="S25" s="459"/>
    </row>
    <row r="26">
      <c r="A26" s="238"/>
      <c r="E26" s="238"/>
      <c r="I26" s="455" t="s">
        <v>330</v>
      </c>
      <c r="M26" s="238"/>
      <c r="N26" s="462"/>
      <c r="O26" s="458"/>
      <c r="P26" s="459"/>
      <c r="Q26" s="459"/>
      <c r="R26" s="462"/>
      <c r="S26" s="459"/>
    </row>
    <row r="27">
      <c r="A27" s="238"/>
      <c r="E27" s="238"/>
      <c r="I27" s="455" t="s">
        <v>330</v>
      </c>
      <c r="M27" s="238"/>
      <c r="N27" s="462"/>
      <c r="O27" s="458"/>
      <c r="P27" s="459"/>
      <c r="Q27" s="459"/>
      <c r="R27" s="462"/>
      <c r="S27" s="459"/>
    </row>
    <row r="28">
      <c r="A28" s="238"/>
      <c r="E28" s="238"/>
      <c r="I28" s="455" t="s">
        <v>330</v>
      </c>
      <c r="M28" s="238"/>
      <c r="N28" s="462"/>
      <c r="O28" s="458"/>
      <c r="P28" s="459"/>
      <c r="Q28" s="459"/>
      <c r="R28" s="462"/>
      <c r="S28" s="459"/>
    </row>
    <row r="29">
      <c r="A29" s="238"/>
      <c r="E29" s="238"/>
      <c r="I29" s="455" t="s">
        <v>330</v>
      </c>
      <c r="M29" s="238"/>
      <c r="N29" s="462"/>
      <c r="O29" s="458"/>
      <c r="P29" s="459"/>
      <c r="Q29" s="459"/>
      <c r="R29" s="462"/>
      <c r="S29" s="459"/>
    </row>
    <row r="30">
      <c r="A30" s="238"/>
      <c r="E30" s="238"/>
      <c r="I30" s="455" t="s">
        <v>330</v>
      </c>
      <c r="M30" s="238"/>
      <c r="N30" s="462"/>
      <c r="O30" s="458"/>
      <c r="P30" s="459"/>
      <c r="Q30" s="459"/>
      <c r="R30" s="462"/>
      <c r="S30" s="459"/>
    </row>
    <row r="31">
      <c r="A31" s="238"/>
      <c r="E31" s="238"/>
      <c r="I31" s="455" t="s">
        <v>330</v>
      </c>
      <c r="M31" s="238"/>
      <c r="N31" s="462"/>
      <c r="O31" s="458"/>
      <c r="P31" s="459"/>
      <c r="Q31" s="459"/>
      <c r="R31" s="462"/>
      <c r="S31" s="459"/>
    </row>
    <row r="32">
      <c r="A32" s="238"/>
      <c r="E32" s="238"/>
      <c r="I32" s="455" t="s">
        <v>330</v>
      </c>
      <c r="M32" s="238"/>
      <c r="N32" s="462"/>
      <c r="O32" s="458"/>
      <c r="P32" s="459"/>
      <c r="Q32" s="459"/>
      <c r="R32" s="462"/>
      <c r="S32" s="459"/>
    </row>
    <row r="33">
      <c r="A33" s="238"/>
      <c r="E33" s="238"/>
      <c r="I33" s="455" t="s">
        <v>330</v>
      </c>
      <c r="M33" s="238"/>
      <c r="N33" s="462"/>
      <c r="O33" s="458"/>
      <c r="P33" s="459"/>
      <c r="Q33" s="459"/>
      <c r="R33" s="462"/>
      <c r="S33" s="459"/>
    </row>
    <row r="34">
      <c r="A34" s="238"/>
      <c r="E34" s="238"/>
      <c r="I34" s="455" t="s">
        <v>330</v>
      </c>
      <c r="M34" s="238"/>
      <c r="N34" s="462"/>
      <c r="O34" s="458"/>
      <c r="P34" s="459"/>
      <c r="Q34" s="459"/>
      <c r="R34" s="462"/>
      <c r="S34" s="459"/>
    </row>
    <row r="35">
      <c r="A35" s="238"/>
      <c r="E35" s="238"/>
      <c r="I35" s="455" t="s">
        <v>330</v>
      </c>
      <c r="M35" s="238"/>
      <c r="N35" s="462"/>
      <c r="O35" s="458"/>
      <c r="P35" s="459"/>
      <c r="Q35" s="459"/>
      <c r="R35" s="462"/>
      <c r="S35" s="459"/>
    </row>
    <row r="36">
      <c r="A36" s="238"/>
      <c r="E36" s="238"/>
      <c r="I36" s="455" t="s">
        <v>330</v>
      </c>
      <c r="M36" s="238"/>
      <c r="N36" s="462"/>
      <c r="O36" s="458"/>
      <c r="P36" s="459"/>
      <c r="Q36" s="459"/>
      <c r="R36" s="462"/>
      <c r="S36" s="459"/>
    </row>
    <row r="37">
      <c r="A37" s="238"/>
      <c r="E37" s="238"/>
      <c r="I37" s="455" t="s">
        <v>330</v>
      </c>
      <c r="M37" s="238"/>
      <c r="N37" s="462"/>
      <c r="O37" s="458"/>
      <c r="P37" s="459"/>
      <c r="Q37" s="459"/>
      <c r="R37" s="462"/>
      <c r="S37" s="459"/>
    </row>
    <row r="38">
      <c r="A38" s="238"/>
      <c r="E38" s="238"/>
      <c r="I38" s="455" t="s">
        <v>330</v>
      </c>
      <c r="M38" s="238"/>
      <c r="N38" s="462"/>
      <c r="O38" s="458"/>
      <c r="P38" s="459"/>
      <c r="Q38" s="459"/>
      <c r="R38" s="462"/>
      <c r="S38" s="459"/>
    </row>
    <row r="39">
      <c r="A39" s="238"/>
      <c r="E39" s="238"/>
      <c r="I39" s="455" t="s">
        <v>330</v>
      </c>
      <c r="M39" s="238"/>
      <c r="N39" s="462"/>
      <c r="O39" s="458"/>
      <c r="P39" s="459"/>
      <c r="Q39" s="459"/>
      <c r="R39" s="462"/>
      <c r="S39" s="459"/>
    </row>
    <row r="40">
      <c r="A40" s="238"/>
      <c r="E40" s="238"/>
      <c r="I40" s="455" t="s">
        <v>330</v>
      </c>
      <c r="M40" s="238"/>
      <c r="N40" s="462"/>
      <c r="O40" s="458"/>
      <c r="P40" s="459"/>
      <c r="Q40" s="459"/>
      <c r="R40" s="462"/>
      <c r="S40" s="459"/>
    </row>
    <row r="41">
      <c r="A41" s="238"/>
      <c r="E41" s="238"/>
      <c r="I41" s="455" t="s">
        <v>330</v>
      </c>
      <c r="M41" s="238"/>
      <c r="N41" s="462"/>
      <c r="O41" s="458"/>
      <c r="P41" s="459"/>
      <c r="Q41" s="459"/>
      <c r="R41" s="462"/>
      <c r="S41" s="459"/>
    </row>
    <row r="42">
      <c r="A42" s="238"/>
      <c r="E42" s="238"/>
      <c r="I42" s="455" t="s">
        <v>330</v>
      </c>
      <c r="M42" s="238"/>
      <c r="N42" s="462"/>
      <c r="O42" s="458"/>
      <c r="P42" s="459"/>
      <c r="Q42" s="459"/>
      <c r="R42" s="462"/>
      <c r="S42" s="459"/>
    </row>
    <row r="43">
      <c r="A43" s="238"/>
      <c r="E43" s="238"/>
      <c r="I43" s="455" t="s">
        <v>330</v>
      </c>
      <c r="M43" s="238"/>
      <c r="N43" s="462"/>
      <c r="O43" s="458"/>
      <c r="P43" s="459"/>
      <c r="Q43" s="459"/>
      <c r="R43" s="462"/>
      <c r="S43" s="459"/>
    </row>
    <row r="44">
      <c r="A44" s="238"/>
      <c r="E44" s="238"/>
      <c r="I44" s="455" t="s">
        <v>330</v>
      </c>
      <c r="M44" s="238"/>
      <c r="N44" s="462"/>
      <c r="O44" s="458"/>
      <c r="P44" s="459"/>
      <c r="Q44" s="459"/>
      <c r="R44" s="462"/>
      <c r="S44" s="459"/>
    </row>
    <row r="45">
      <c r="A45" s="238"/>
      <c r="E45" s="238"/>
      <c r="I45" s="455" t="s">
        <v>330</v>
      </c>
      <c r="M45" s="238"/>
      <c r="N45" s="462"/>
      <c r="O45" s="458"/>
      <c r="P45" s="459"/>
      <c r="Q45" s="459"/>
      <c r="R45" s="462"/>
      <c r="S45" s="459"/>
    </row>
    <row r="46">
      <c r="A46" s="238"/>
      <c r="E46" s="238"/>
      <c r="I46" s="455" t="s">
        <v>330</v>
      </c>
      <c r="M46" s="238"/>
      <c r="N46" s="462"/>
      <c r="O46" s="458"/>
      <c r="P46" s="459"/>
      <c r="Q46" s="459"/>
      <c r="R46" s="462"/>
      <c r="S46" s="459"/>
    </row>
    <row r="47">
      <c r="A47" s="238"/>
      <c r="E47" s="238"/>
      <c r="I47" s="455" t="s">
        <v>330</v>
      </c>
      <c r="M47" s="238"/>
      <c r="N47" s="462"/>
      <c r="O47" s="458"/>
      <c r="P47" s="459"/>
      <c r="Q47" s="459"/>
      <c r="R47" s="462"/>
      <c r="S47" s="459"/>
    </row>
    <row r="48">
      <c r="A48" s="238"/>
      <c r="E48" s="238"/>
      <c r="I48" s="455" t="s">
        <v>330</v>
      </c>
      <c r="M48" s="238"/>
      <c r="N48" s="462"/>
      <c r="O48" s="458"/>
      <c r="P48" s="459"/>
      <c r="Q48" s="459"/>
      <c r="R48" s="462"/>
      <c r="S48" s="459"/>
    </row>
    <row r="49">
      <c r="A49" s="238"/>
      <c r="E49" s="238"/>
      <c r="I49" s="455" t="s">
        <v>330</v>
      </c>
      <c r="M49" s="238"/>
      <c r="N49" s="462"/>
      <c r="O49" s="458"/>
      <c r="P49" s="459"/>
      <c r="Q49" s="459"/>
      <c r="R49" s="462"/>
      <c r="S49" s="459"/>
    </row>
    <row r="50">
      <c r="A50" s="238"/>
      <c r="E50" s="238"/>
      <c r="I50" s="455" t="s">
        <v>330</v>
      </c>
      <c r="M50" s="238"/>
      <c r="N50" s="462"/>
      <c r="O50" s="458"/>
      <c r="P50" s="459"/>
      <c r="Q50" s="459"/>
      <c r="R50" s="462"/>
      <c r="S50" s="459"/>
    </row>
    <row r="51">
      <c r="A51" s="238"/>
      <c r="E51" s="238"/>
      <c r="I51" s="455" t="s">
        <v>330</v>
      </c>
      <c r="M51" s="238"/>
      <c r="N51" s="462"/>
      <c r="O51" s="458"/>
      <c r="P51" s="459"/>
      <c r="Q51" s="459"/>
      <c r="R51" s="462"/>
      <c r="S51" s="459"/>
    </row>
    <row r="52">
      <c r="A52" s="238"/>
      <c r="E52" s="238"/>
      <c r="I52" s="455" t="s">
        <v>330</v>
      </c>
      <c r="M52" s="238"/>
      <c r="N52" s="462"/>
      <c r="O52" s="458"/>
      <c r="P52" s="459"/>
      <c r="Q52" s="459"/>
      <c r="R52" s="462"/>
      <c r="S52" s="459"/>
    </row>
    <row r="53">
      <c r="A53" s="238"/>
      <c r="E53" s="238"/>
      <c r="I53" s="455" t="s">
        <v>330</v>
      </c>
      <c r="M53" s="238"/>
      <c r="N53" s="462"/>
      <c r="O53" s="458"/>
      <c r="P53" s="459"/>
      <c r="Q53" s="459"/>
      <c r="R53" s="462"/>
      <c r="S53" s="459"/>
    </row>
    <row r="54">
      <c r="A54" s="238"/>
      <c r="E54" s="238"/>
      <c r="I54" s="455" t="s">
        <v>330</v>
      </c>
      <c r="M54" s="238"/>
      <c r="N54" s="462"/>
      <c r="O54" s="458"/>
      <c r="P54" s="459"/>
      <c r="Q54" s="459"/>
      <c r="R54" s="462"/>
      <c r="S54" s="459"/>
    </row>
    <row r="55">
      <c r="A55" s="238"/>
      <c r="E55" s="238"/>
      <c r="I55" s="455" t="s">
        <v>330</v>
      </c>
      <c r="M55" s="238"/>
      <c r="N55" s="462"/>
      <c r="O55" s="458"/>
      <c r="P55" s="459"/>
      <c r="Q55" s="459"/>
      <c r="R55" s="462"/>
      <c r="S55" s="459"/>
    </row>
    <row r="56">
      <c r="A56" s="238"/>
      <c r="E56" s="238"/>
      <c r="I56" s="455" t="s">
        <v>330</v>
      </c>
      <c r="M56" s="238"/>
      <c r="N56" s="462"/>
      <c r="O56" s="458"/>
      <c r="P56" s="459"/>
      <c r="Q56" s="459"/>
      <c r="R56" s="462"/>
      <c r="S56" s="459"/>
    </row>
    <row r="57">
      <c r="A57" s="238"/>
      <c r="E57" s="238"/>
      <c r="I57" s="455" t="s">
        <v>330</v>
      </c>
      <c r="M57" s="238"/>
      <c r="N57" s="462"/>
      <c r="O57" s="458"/>
      <c r="P57" s="459"/>
      <c r="Q57" s="459"/>
      <c r="R57" s="462"/>
      <c r="S57" s="459"/>
    </row>
    <row r="58">
      <c r="A58" s="238"/>
      <c r="E58" s="238"/>
      <c r="I58" s="455" t="s">
        <v>330</v>
      </c>
      <c r="M58" s="238"/>
      <c r="N58" s="462"/>
      <c r="O58" s="458"/>
      <c r="P58" s="459"/>
      <c r="Q58" s="459"/>
      <c r="R58" s="462"/>
      <c r="S58" s="459"/>
    </row>
    <row r="59">
      <c r="A59" s="238"/>
      <c r="E59" s="238"/>
      <c r="I59" s="455" t="s">
        <v>330</v>
      </c>
      <c r="M59" s="238"/>
      <c r="N59" s="462"/>
      <c r="O59" s="458"/>
      <c r="P59" s="459"/>
      <c r="Q59" s="459"/>
      <c r="R59" s="462"/>
      <c r="S59" s="459"/>
    </row>
    <row r="60">
      <c r="A60" s="238"/>
      <c r="E60" s="238"/>
      <c r="I60" s="455" t="s">
        <v>330</v>
      </c>
      <c r="M60" s="238"/>
      <c r="N60" s="462"/>
      <c r="O60" s="458"/>
      <c r="P60" s="459"/>
      <c r="Q60" s="459"/>
      <c r="R60" s="462"/>
      <c r="S60" s="459"/>
    </row>
    <row r="61">
      <c r="A61" s="238"/>
      <c r="E61" s="238"/>
      <c r="I61" s="455" t="s">
        <v>330</v>
      </c>
      <c r="M61" s="238"/>
      <c r="N61" s="462"/>
      <c r="O61" s="458"/>
      <c r="P61" s="459"/>
      <c r="Q61" s="459"/>
      <c r="R61" s="462"/>
      <c r="S61" s="459"/>
    </row>
    <row r="62">
      <c r="A62" s="238"/>
      <c r="E62" s="238"/>
      <c r="I62" s="455" t="s">
        <v>330</v>
      </c>
      <c r="M62" s="238"/>
      <c r="N62" s="462"/>
      <c r="O62" s="458"/>
      <c r="P62" s="459"/>
      <c r="Q62" s="459"/>
      <c r="R62" s="462"/>
      <c r="S62" s="459"/>
    </row>
    <row r="63">
      <c r="A63" s="238"/>
      <c r="E63" s="238"/>
      <c r="I63" s="455" t="s">
        <v>330</v>
      </c>
      <c r="M63" s="238"/>
      <c r="N63" s="462"/>
      <c r="O63" s="458"/>
      <c r="P63" s="459"/>
      <c r="Q63" s="459"/>
      <c r="R63" s="462"/>
      <c r="S63" s="459"/>
    </row>
    <row r="64">
      <c r="A64" s="238"/>
      <c r="E64" s="238"/>
      <c r="I64" s="455" t="s">
        <v>330</v>
      </c>
      <c r="M64" s="238"/>
      <c r="N64" s="462"/>
      <c r="O64" s="458"/>
      <c r="P64" s="459"/>
      <c r="Q64" s="459"/>
      <c r="R64" s="462"/>
      <c r="S64" s="459"/>
    </row>
    <row r="65">
      <c r="A65" s="238"/>
      <c r="E65" s="238"/>
      <c r="I65" s="455" t="s">
        <v>330</v>
      </c>
      <c r="M65" s="238"/>
      <c r="N65" s="462"/>
      <c r="O65" s="458"/>
      <c r="P65" s="459"/>
      <c r="Q65" s="459"/>
      <c r="R65" s="462"/>
      <c r="S65" s="459"/>
    </row>
    <row r="66">
      <c r="A66" s="238"/>
      <c r="E66" s="238"/>
      <c r="I66" s="455" t="s">
        <v>330</v>
      </c>
      <c r="M66" s="238"/>
      <c r="N66" s="462"/>
      <c r="O66" s="458"/>
      <c r="P66" s="459"/>
      <c r="Q66" s="459"/>
      <c r="R66" s="462"/>
      <c r="S66" s="459"/>
    </row>
    <row r="67">
      <c r="A67" s="238"/>
      <c r="E67" s="238"/>
      <c r="I67" s="455" t="s">
        <v>330</v>
      </c>
      <c r="M67" s="238"/>
      <c r="N67" s="462"/>
      <c r="O67" s="458"/>
      <c r="P67" s="459"/>
      <c r="Q67" s="459"/>
      <c r="R67" s="462"/>
      <c r="S67" s="459"/>
    </row>
    <row r="68">
      <c r="A68" s="238"/>
      <c r="E68" s="238"/>
      <c r="I68" s="455" t="s">
        <v>330</v>
      </c>
      <c r="M68" s="238"/>
      <c r="N68" s="462"/>
      <c r="O68" s="458"/>
      <c r="P68" s="459"/>
      <c r="Q68" s="459"/>
      <c r="R68" s="462"/>
      <c r="S68" s="459"/>
    </row>
    <row r="69">
      <c r="A69" s="238"/>
      <c r="E69" s="238"/>
      <c r="I69" s="455" t="s">
        <v>330</v>
      </c>
      <c r="M69" s="238"/>
      <c r="N69" s="462"/>
      <c r="O69" s="458"/>
      <c r="P69" s="459"/>
      <c r="Q69" s="459"/>
      <c r="R69" s="462"/>
      <c r="S69" s="459"/>
    </row>
    <row r="70">
      <c r="A70" s="238"/>
      <c r="E70" s="238"/>
      <c r="I70" s="455" t="s">
        <v>330</v>
      </c>
      <c r="M70" s="238"/>
      <c r="N70" s="462"/>
      <c r="O70" s="458"/>
      <c r="P70" s="459"/>
      <c r="Q70" s="459"/>
      <c r="R70" s="462"/>
      <c r="S70" s="459"/>
    </row>
    <row r="71">
      <c r="A71" s="238"/>
      <c r="E71" s="238"/>
      <c r="I71" s="455" t="s">
        <v>330</v>
      </c>
      <c r="M71" s="238"/>
      <c r="N71" s="462"/>
      <c r="O71" s="458"/>
      <c r="P71" s="459"/>
      <c r="Q71" s="459"/>
      <c r="R71" s="462"/>
      <c r="S71" s="459"/>
    </row>
    <row r="72">
      <c r="A72" s="238"/>
      <c r="E72" s="238"/>
      <c r="I72" s="455" t="s">
        <v>330</v>
      </c>
      <c r="M72" s="238"/>
      <c r="N72" s="462"/>
      <c r="O72" s="458"/>
      <c r="P72" s="459"/>
      <c r="Q72" s="459"/>
      <c r="R72" s="462"/>
      <c r="S72" s="459"/>
    </row>
    <row r="73">
      <c r="A73" s="238"/>
      <c r="E73" s="238"/>
      <c r="I73" s="455" t="s">
        <v>330</v>
      </c>
      <c r="M73" s="238"/>
      <c r="N73" s="462"/>
      <c r="O73" s="458"/>
      <c r="P73" s="459"/>
      <c r="Q73" s="459"/>
      <c r="R73" s="462"/>
      <c r="S73" s="459"/>
    </row>
    <row r="74">
      <c r="A74" s="238"/>
      <c r="E74" s="238"/>
      <c r="I74" s="455" t="s">
        <v>330</v>
      </c>
      <c r="M74" s="238"/>
      <c r="N74" s="462"/>
      <c r="O74" s="458"/>
      <c r="P74" s="459"/>
      <c r="Q74" s="459"/>
      <c r="R74" s="462"/>
      <c r="S74" s="459"/>
    </row>
    <row r="75">
      <c r="A75" s="238"/>
      <c r="E75" s="238"/>
      <c r="I75" s="455" t="s">
        <v>330</v>
      </c>
      <c r="M75" s="238"/>
      <c r="N75" s="462"/>
      <c r="O75" s="458"/>
      <c r="P75" s="459"/>
      <c r="Q75" s="459"/>
      <c r="R75" s="462"/>
      <c r="S75" s="459"/>
    </row>
    <row r="76">
      <c r="A76" s="238"/>
      <c r="E76" s="238"/>
      <c r="I76" s="455" t="s">
        <v>330</v>
      </c>
      <c r="M76" s="238"/>
      <c r="N76" s="462"/>
      <c r="O76" s="458"/>
      <c r="P76" s="459"/>
      <c r="Q76" s="459"/>
      <c r="R76" s="462"/>
      <c r="S76" s="459"/>
    </row>
    <row r="77">
      <c r="A77" s="238"/>
      <c r="E77" s="238"/>
      <c r="I77" s="455" t="s">
        <v>330</v>
      </c>
      <c r="M77" s="238"/>
      <c r="N77" s="462"/>
      <c r="O77" s="458"/>
      <c r="P77" s="459"/>
      <c r="Q77" s="459"/>
      <c r="R77" s="462"/>
      <c r="S77" s="459"/>
    </row>
    <row r="78">
      <c r="A78" s="238"/>
      <c r="E78" s="238"/>
      <c r="I78" s="455" t="s">
        <v>330</v>
      </c>
      <c r="M78" s="238"/>
      <c r="N78" s="462"/>
      <c r="O78" s="458"/>
      <c r="P78" s="459"/>
      <c r="Q78" s="459"/>
      <c r="R78" s="462"/>
      <c r="S78" s="459"/>
    </row>
    <row r="79">
      <c r="A79" s="238"/>
      <c r="E79" s="238"/>
      <c r="I79" s="455" t="s">
        <v>330</v>
      </c>
      <c r="M79" s="238"/>
      <c r="N79" s="462"/>
      <c r="O79" s="458"/>
      <c r="P79" s="459"/>
      <c r="Q79" s="459"/>
      <c r="R79" s="462"/>
      <c r="S79" s="459"/>
    </row>
    <row r="80">
      <c r="A80" s="238"/>
      <c r="E80" s="238"/>
      <c r="I80" s="455" t="s">
        <v>330</v>
      </c>
      <c r="M80" s="238"/>
      <c r="N80" s="462"/>
      <c r="O80" s="458"/>
      <c r="P80" s="459"/>
      <c r="Q80" s="459"/>
      <c r="R80" s="462"/>
      <c r="S80" s="459"/>
    </row>
    <row r="81">
      <c r="A81" s="238"/>
      <c r="E81" s="238"/>
      <c r="I81" s="455" t="s">
        <v>330</v>
      </c>
      <c r="M81" s="238"/>
      <c r="N81" s="462"/>
      <c r="O81" s="458"/>
      <c r="P81" s="459"/>
      <c r="Q81" s="459"/>
      <c r="R81" s="462"/>
      <c r="S81" s="459"/>
    </row>
    <row r="82">
      <c r="A82" s="238"/>
      <c r="E82" s="238"/>
      <c r="I82" s="455" t="s">
        <v>330</v>
      </c>
      <c r="M82" s="238"/>
      <c r="N82" s="462"/>
      <c r="O82" s="458"/>
      <c r="P82" s="459"/>
      <c r="Q82" s="459"/>
      <c r="R82" s="462"/>
      <c r="S82" s="459"/>
    </row>
    <row r="83">
      <c r="A83" s="238"/>
      <c r="E83" s="238"/>
      <c r="I83" s="455" t="s">
        <v>330</v>
      </c>
      <c r="M83" s="238"/>
      <c r="N83" s="462"/>
      <c r="O83" s="458"/>
      <c r="P83" s="459"/>
      <c r="Q83" s="459"/>
      <c r="R83" s="462"/>
      <c r="S83" s="459"/>
    </row>
    <row r="84">
      <c r="A84" s="238"/>
      <c r="E84" s="238"/>
      <c r="I84" s="455" t="s">
        <v>330</v>
      </c>
      <c r="M84" s="238"/>
      <c r="N84" s="462"/>
      <c r="O84" s="458"/>
      <c r="P84" s="459"/>
      <c r="Q84" s="459"/>
      <c r="R84" s="462"/>
      <c r="S84" s="459"/>
    </row>
    <row r="85">
      <c r="A85" s="238"/>
      <c r="E85" s="238"/>
      <c r="I85" s="455" t="s">
        <v>330</v>
      </c>
      <c r="M85" s="238"/>
      <c r="N85" s="462"/>
      <c r="O85" s="458"/>
      <c r="P85" s="459"/>
      <c r="Q85" s="459"/>
      <c r="R85" s="462"/>
      <c r="S85" s="459"/>
    </row>
    <row r="86">
      <c r="A86" s="238"/>
      <c r="E86" s="238"/>
      <c r="I86" s="455" t="s">
        <v>330</v>
      </c>
      <c r="M86" s="238"/>
      <c r="N86" s="462"/>
      <c r="O86" s="458"/>
      <c r="P86" s="459"/>
      <c r="Q86" s="459"/>
      <c r="R86" s="462"/>
      <c r="S86" s="459"/>
    </row>
    <row r="87">
      <c r="A87" s="238"/>
      <c r="E87" s="238"/>
      <c r="I87" s="455" t="s">
        <v>330</v>
      </c>
      <c r="M87" s="238"/>
      <c r="N87" s="462"/>
      <c r="O87" s="458"/>
      <c r="P87" s="459"/>
      <c r="Q87" s="459"/>
      <c r="R87" s="462"/>
      <c r="S87" s="459"/>
    </row>
    <row r="88">
      <c r="A88" s="238"/>
      <c r="E88" s="238"/>
      <c r="I88" s="455" t="s">
        <v>330</v>
      </c>
      <c r="M88" s="238"/>
      <c r="N88" s="462"/>
      <c r="O88" s="458"/>
      <c r="P88" s="459"/>
      <c r="Q88" s="459"/>
      <c r="R88" s="462"/>
      <c r="S88" s="459"/>
    </row>
    <row r="89">
      <c r="A89" s="238"/>
      <c r="E89" s="238"/>
      <c r="I89" s="455" t="s">
        <v>330</v>
      </c>
      <c r="M89" s="238"/>
      <c r="N89" s="462"/>
      <c r="O89" s="458"/>
      <c r="P89" s="459"/>
      <c r="Q89" s="459"/>
      <c r="R89" s="462"/>
      <c r="S89" s="459"/>
    </row>
    <row r="90">
      <c r="A90" s="238"/>
      <c r="E90" s="238"/>
      <c r="I90" s="455" t="s">
        <v>330</v>
      </c>
      <c r="M90" s="238"/>
      <c r="N90" s="462"/>
      <c r="O90" s="458"/>
      <c r="P90" s="459"/>
      <c r="Q90" s="459"/>
      <c r="R90" s="462"/>
      <c r="S90" s="459"/>
    </row>
    <row r="91">
      <c r="A91" s="238"/>
      <c r="E91" s="238"/>
      <c r="I91" s="455" t="s">
        <v>330</v>
      </c>
      <c r="M91" s="238"/>
      <c r="N91" s="462"/>
      <c r="O91" s="458"/>
      <c r="P91" s="459"/>
      <c r="Q91" s="459"/>
      <c r="R91" s="462"/>
      <c r="S91" s="459"/>
    </row>
    <row r="92">
      <c r="A92" s="238"/>
      <c r="E92" s="238"/>
      <c r="I92" s="455" t="s">
        <v>330</v>
      </c>
      <c r="M92" s="238"/>
      <c r="N92" s="462"/>
      <c r="O92" s="458"/>
      <c r="P92" s="459"/>
      <c r="Q92" s="459"/>
      <c r="R92" s="462"/>
      <c r="S92" s="459"/>
    </row>
    <row r="93">
      <c r="A93" s="238"/>
      <c r="E93" s="238"/>
      <c r="I93" s="455" t="s">
        <v>330</v>
      </c>
      <c r="M93" s="238"/>
      <c r="N93" s="462"/>
      <c r="O93" s="458"/>
      <c r="P93" s="459"/>
      <c r="Q93" s="459"/>
      <c r="R93" s="462"/>
      <c r="S93" s="459"/>
    </row>
    <row r="94">
      <c r="A94" s="238"/>
      <c r="E94" s="238"/>
      <c r="I94" s="455" t="s">
        <v>330</v>
      </c>
      <c r="M94" s="238"/>
      <c r="N94" s="462"/>
      <c r="O94" s="458"/>
      <c r="P94" s="459"/>
      <c r="Q94" s="459"/>
      <c r="R94" s="462"/>
      <c r="S94" s="459"/>
    </row>
    <row r="95">
      <c r="A95" s="238"/>
      <c r="E95" s="238"/>
      <c r="I95" s="455" t="s">
        <v>330</v>
      </c>
      <c r="M95" s="238"/>
      <c r="N95" s="462"/>
      <c r="O95" s="458"/>
      <c r="P95" s="459"/>
      <c r="Q95" s="459"/>
      <c r="R95" s="462"/>
      <c r="S95" s="459"/>
    </row>
    <row r="96">
      <c r="A96" s="238"/>
      <c r="E96" s="238"/>
      <c r="I96" s="455" t="s">
        <v>330</v>
      </c>
      <c r="M96" s="238"/>
      <c r="N96" s="462"/>
      <c r="O96" s="458"/>
      <c r="P96" s="459"/>
      <c r="Q96" s="459"/>
      <c r="R96" s="462"/>
      <c r="S96" s="459"/>
    </row>
    <row r="97">
      <c r="A97" s="238"/>
      <c r="E97" s="238"/>
      <c r="I97" s="455" t="s">
        <v>330</v>
      </c>
      <c r="M97" s="238"/>
      <c r="N97" s="462"/>
      <c r="O97" s="458"/>
      <c r="P97" s="459"/>
      <c r="Q97" s="459"/>
      <c r="R97" s="462"/>
      <c r="S97" s="459"/>
    </row>
    <row r="98">
      <c r="A98" s="238"/>
      <c r="E98" s="238"/>
      <c r="I98" s="455" t="s">
        <v>330</v>
      </c>
      <c r="M98" s="238"/>
      <c r="N98" s="462"/>
      <c r="O98" s="458"/>
      <c r="P98" s="459"/>
      <c r="Q98" s="459"/>
      <c r="R98" s="462"/>
      <c r="S98" s="459"/>
    </row>
    <row r="99">
      <c r="A99" s="238"/>
      <c r="E99" s="238"/>
      <c r="I99" s="455" t="s">
        <v>330</v>
      </c>
      <c r="M99" s="238"/>
      <c r="N99" s="462"/>
      <c r="O99" s="458"/>
      <c r="P99" s="459"/>
      <c r="Q99" s="459"/>
      <c r="R99" s="462"/>
      <c r="S99" s="459"/>
    </row>
    <row r="100">
      <c r="A100" s="238"/>
      <c r="E100" s="238"/>
      <c r="I100" s="455" t="s">
        <v>330</v>
      </c>
      <c r="M100" s="238"/>
      <c r="N100" s="462"/>
      <c r="O100" s="458"/>
      <c r="P100" s="459"/>
      <c r="Q100" s="459"/>
      <c r="R100" s="462"/>
      <c r="S100" s="459"/>
    </row>
    <row r="101">
      <c r="A101" s="238"/>
      <c r="E101" s="238"/>
      <c r="I101" s="455" t="s">
        <v>330</v>
      </c>
      <c r="M101" s="238"/>
      <c r="N101" s="462"/>
      <c r="O101" s="458"/>
      <c r="P101" s="459"/>
      <c r="Q101" s="459"/>
      <c r="R101" s="462"/>
      <c r="S101" s="459"/>
    </row>
    <row r="102">
      <c r="A102" s="238"/>
      <c r="E102" s="238"/>
      <c r="I102" s="455" t="s">
        <v>330</v>
      </c>
      <c r="M102" s="238"/>
      <c r="N102" s="462"/>
      <c r="O102" s="458"/>
      <c r="P102" s="459"/>
      <c r="Q102" s="459"/>
      <c r="R102" s="462"/>
      <c r="S102" s="459"/>
    </row>
    <row r="103">
      <c r="A103" s="238"/>
      <c r="E103" s="238"/>
      <c r="I103" s="455" t="s">
        <v>330</v>
      </c>
      <c r="M103" s="238"/>
      <c r="N103" s="462"/>
      <c r="O103" s="458"/>
      <c r="P103" s="459"/>
      <c r="Q103" s="459"/>
      <c r="R103" s="462"/>
      <c r="S103" s="459"/>
    </row>
    <row r="104">
      <c r="A104" s="238"/>
      <c r="E104" s="238"/>
      <c r="I104" s="455" t="s">
        <v>330</v>
      </c>
      <c r="M104" s="238"/>
      <c r="N104" s="462"/>
      <c r="O104" s="458"/>
      <c r="P104" s="459"/>
      <c r="Q104" s="459"/>
      <c r="R104" s="462"/>
      <c r="S104" s="459"/>
    </row>
    <row r="105">
      <c r="A105" s="238"/>
      <c r="E105" s="238"/>
      <c r="I105" s="455" t="s">
        <v>330</v>
      </c>
      <c r="M105" s="238"/>
      <c r="N105" s="462"/>
      <c r="O105" s="458"/>
      <c r="P105" s="459"/>
      <c r="Q105" s="459"/>
      <c r="R105" s="462"/>
      <c r="S105" s="459"/>
    </row>
    <row r="106">
      <c r="A106" s="238"/>
      <c r="E106" s="238"/>
      <c r="I106" s="455" t="s">
        <v>330</v>
      </c>
      <c r="M106" s="238"/>
      <c r="N106" s="462"/>
      <c r="O106" s="458"/>
      <c r="P106" s="459"/>
      <c r="Q106" s="459"/>
      <c r="R106" s="462"/>
      <c r="S106" s="459"/>
    </row>
    <row r="107">
      <c r="A107" s="238"/>
      <c r="E107" s="238"/>
      <c r="I107" s="455" t="s">
        <v>330</v>
      </c>
      <c r="M107" s="238"/>
      <c r="N107" s="462"/>
      <c r="O107" s="458"/>
      <c r="P107" s="459"/>
      <c r="Q107" s="459"/>
      <c r="R107" s="462"/>
      <c r="S107" s="459"/>
    </row>
    <row r="108">
      <c r="A108" s="238"/>
      <c r="E108" s="238"/>
      <c r="I108" s="455" t="s">
        <v>330</v>
      </c>
      <c r="M108" s="238"/>
      <c r="N108" s="462"/>
      <c r="O108" s="458"/>
      <c r="P108" s="459"/>
      <c r="Q108" s="459"/>
      <c r="R108" s="462"/>
      <c r="S108" s="459"/>
    </row>
    <row r="109">
      <c r="A109" s="238"/>
      <c r="E109" s="238"/>
      <c r="I109" s="455" t="s">
        <v>330</v>
      </c>
      <c r="M109" s="238"/>
      <c r="N109" s="462"/>
      <c r="O109" s="458"/>
      <c r="P109" s="459"/>
      <c r="Q109" s="459"/>
      <c r="R109" s="462"/>
      <c r="S109" s="459"/>
    </row>
    <row r="110">
      <c r="A110" s="238"/>
      <c r="E110" s="238"/>
      <c r="I110" s="455" t="s">
        <v>330</v>
      </c>
      <c r="M110" s="238"/>
      <c r="N110" s="462"/>
      <c r="O110" s="458"/>
      <c r="P110" s="459"/>
      <c r="Q110" s="459"/>
      <c r="R110" s="462"/>
      <c r="S110" s="459"/>
    </row>
    <row r="111">
      <c r="A111" s="238"/>
      <c r="E111" s="238"/>
      <c r="I111" s="455" t="s">
        <v>330</v>
      </c>
      <c r="M111" s="238"/>
      <c r="N111" s="462"/>
      <c r="O111" s="458"/>
      <c r="P111" s="459"/>
      <c r="Q111" s="459"/>
      <c r="R111" s="462"/>
      <c r="S111" s="459"/>
    </row>
    <row r="112">
      <c r="A112" s="238"/>
      <c r="E112" s="238"/>
      <c r="I112" s="455" t="s">
        <v>330</v>
      </c>
      <c r="M112" s="238"/>
      <c r="N112" s="462"/>
      <c r="O112" s="458"/>
      <c r="P112" s="459"/>
      <c r="Q112" s="459"/>
      <c r="R112" s="462"/>
      <c r="S112" s="459"/>
    </row>
    <row r="113">
      <c r="A113" s="238"/>
      <c r="E113" s="238"/>
      <c r="I113" s="455" t="s">
        <v>330</v>
      </c>
      <c r="M113" s="238"/>
      <c r="N113" s="462"/>
      <c r="O113" s="458"/>
      <c r="P113" s="459"/>
      <c r="Q113" s="459"/>
      <c r="R113" s="462"/>
      <c r="S113" s="459"/>
    </row>
    <row r="114">
      <c r="A114" s="238"/>
      <c r="E114" s="238"/>
      <c r="I114" s="455" t="s">
        <v>330</v>
      </c>
      <c r="M114" s="238"/>
      <c r="N114" s="462"/>
      <c r="O114" s="458"/>
      <c r="P114" s="459"/>
      <c r="Q114" s="459"/>
      <c r="R114" s="462"/>
      <c r="S114" s="459"/>
    </row>
    <row r="115">
      <c r="A115" s="238"/>
      <c r="E115" s="238"/>
      <c r="I115" s="455" t="s">
        <v>330</v>
      </c>
      <c r="M115" s="238"/>
      <c r="N115" s="462"/>
      <c r="O115" s="458"/>
      <c r="P115" s="459"/>
      <c r="Q115" s="459"/>
      <c r="R115" s="462"/>
      <c r="S115" s="459"/>
    </row>
    <row r="116">
      <c r="A116" s="238"/>
      <c r="E116" s="238"/>
      <c r="I116" s="455" t="s">
        <v>330</v>
      </c>
      <c r="M116" s="238"/>
      <c r="N116" s="462"/>
      <c r="O116" s="458"/>
      <c r="P116" s="459"/>
      <c r="Q116" s="459"/>
      <c r="R116" s="462"/>
      <c r="S116" s="459"/>
    </row>
    <row r="117">
      <c r="A117" s="238"/>
      <c r="E117" s="238"/>
      <c r="I117" s="455" t="s">
        <v>330</v>
      </c>
      <c r="M117" s="238"/>
      <c r="N117" s="462"/>
      <c r="O117" s="458"/>
      <c r="P117" s="459"/>
      <c r="Q117" s="459"/>
      <c r="R117" s="462"/>
      <c r="S117" s="459"/>
    </row>
    <row r="118">
      <c r="A118" s="238"/>
      <c r="E118" s="238"/>
      <c r="I118" s="455" t="s">
        <v>330</v>
      </c>
      <c r="M118" s="238"/>
      <c r="N118" s="462"/>
      <c r="O118" s="458"/>
      <c r="P118" s="459"/>
      <c r="Q118" s="459"/>
      <c r="R118" s="462"/>
      <c r="S118" s="459"/>
    </row>
    <row r="119">
      <c r="A119" s="238"/>
      <c r="E119" s="238"/>
      <c r="I119" s="455" t="s">
        <v>330</v>
      </c>
      <c r="M119" s="238"/>
      <c r="N119" s="462"/>
      <c r="O119" s="458"/>
      <c r="P119" s="459"/>
      <c r="Q119" s="459"/>
      <c r="R119" s="462"/>
      <c r="S119" s="459"/>
    </row>
    <row r="120">
      <c r="A120" s="238"/>
      <c r="E120" s="238"/>
      <c r="I120" s="455" t="s">
        <v>330</v>
      </c>
      <c r="M120" s="238"/>
      <c r="N120" s="462"/>
      <c r="O120" s="458"/>
      <c r="P120" s="459"/>
      <c r="Q120" s="459"/>
      <c r="R120" s="462"/>
      <c r="S120" s="459"/>
    </row>
    <row r="121">
      <c r="A121" s="238"/>
      <c r="E121" s="238"/>
      <c r="I121" s="455" t="s">
        <v>330</v>
      </c>
      <c r="M121" s="238"/>
      <c r="N121" s="462"/>
      <c r="O121" s="458"/>
      <c r="P121" s="459"/>
      <c r="Q121" s="459"/>
      <c r="R121" s="462"/>
      <c r="S121" s="459"/>
    </row>
    <row r="122">
      <c r="A122" s="238"/>
      <c r="E122" s="238"/>
      <c r="I122" s="455" t="s">
        <v>330</v>
      </c>
      <c r="M122" s="238"/>
      <c r="N122" s="462"/>
      <c r="O122" s="458"/>
      <c r="P122" s="459"/>
      <c r="Q122" s="459"/>
      <c r="R122" s="462"/>
      <c r="S122" s="459"/>
    </row>
    <row r="123">
      <c r="A123" s="238"/>
      <c r="E123" s="238"/>
      <c r="I123" s="455" t="s">
        <v>330</v>
      </c>
      <c r="M123" s="238"/>
      <c r="N123" s="462"/>
      <c r="O123" s="458"/>
      <c r="P123" s="459"/>
      <c r="Q123" s="459"/>
      <c r="R123" s="462"/>
      <c r="S123" s="459"/>
    </row>
    <row r="124">
      <c r="A124" s="238"/>
      <c r="E124" s="238"/>
      <c r="I124" s="455" t="s">
        <v>330</v>
      </c>
      <c r="M124" s="238"/>
      <c r="N124" s="462"/>
      <c r="O124" s="458"/>
      <c r="P124" s="459"/>
      <c r="Q124" s="459"/>
      <c r="R124" s="462"/>
      <c r="S124" s="459"/>
    </row>
    <row r="125">
      <c r="A125" s="238"/>
      <c r="E125" s="238"/>
      <c r="I125" s="455" t="s">
        <v>330</v>
      </c>
      <c r="M125" s="238"/>
      <c r="N125" s="462"/>
      <c r="O125" s="458"/>
      <c r="P125" s="459"/>
      <c r="Q125" s="459"/>
      <c r="R125" s="462"/>
      <c r="S125" s="459"/>
    </row>
    <row r="126">
      <c r="A126" s="238"/>
      <c r="E126" s="238"/>
      <c r="I126" s="455" t="s">
        <v>330</v>
      </c>
      <c r="M126" s="238"/>
      <c r="N126" s="462"/>
      <c r="O126" s="458"/>
      <c r="P126" s="459"/>
      <c r="Q126" s="459"/>
      <c r="R126" s="462"/>
      <c r="S126" s="459"/>
    </row>
    <row r="127">
      <c r="A127" s="238"/>
      <c r="E127" s="238"/>
      <c r="I127" s="455" t="s">
        <v>330</v>
      </c>
      <c r="M127" s="238"/>
      <c r="N127" s="462"/>
      <c r="O127" s="458"/>
      <c r="P127" s="459"/>
      <c r="Q127" s="459"/>
      <c r="R127" s="462"/>
      <c r="S127" s="459"/>
    </row>
    <row r="128">
      <c r="A128" s="238"/>
      <c r="E128" s="238"/>
      <c r="I128" s="455" t="s">
        <v>330</v>
      </c>
      <c r="M128" s="238"/>
      <c r="N128" s="462"/>
      <c r="O128" s="458"/>
      <c r="P128" s="459"/>
      <c r="Q128" s="459"/>
      <c r="R128" s="462"/>
      <c r="S128" s="459"/>
    </row>
    <row r="129">
      <c r="A129" s="238"/>
      <c r="E129" s="238"/>
      <c r="I129" s="455" t="s">
        <v>330</v>
      </c>
      <c r="M129" s="238"/>
      <c r="N129" s="462"/>
      <c r="O129" s="458"/>
      <c r="P129" s="459"/>
      <c r="Q129" s="459"/>
      <c r="R129" s="462"/>
      <c r="S129" s="459"/>
    </row>
    <row r="130">
      <c r="A130" s="238"/>
      <c r="E130" s="238"/>
      <c r="I130" s="455" t="s">
        <v>330</v>
      </c>
      <c r="M130" s="238"/>
      <c r="N130" s="462"/>
      <c r="O130" s="458"/>
      <c r="P130" s="459"/>
      <c r="Q130" s="459"/>
      <c r="R130" s="462"/>
      <c r="S130" s="459"/>
    </row>
    <row r="131">
      <c r="A131" s="238"/>
      <c r="E131" s="238"/>
      <c r="I131" s="455" t="s">
        <v>330</v>
      </c>
      <c r="M131" s="238"/>
      <c r="N131" s="462"/>
      <c r="O131" s="458"/>
      <c r="P131" s="459"/>
      <c r="Q131" s="459"/>
      <c r="R131" s="462"/>
      <c r="S131" s="459"/>
    </row>
    <row r="132">
      <c r="A132" s="238"/>
      <c r="E132" s="238"/>
      <c r="I132" s="455" t="s">
        <v>330</v>
      </c>
      <c r="M132" s="238"/>
      <c r="N132" s="462"/>
      <c r="O132" s="458"/>
      <c r="P132" s="459"/>
      <c r="Q132" s="459"/>
      <c r="R132" s="462"/>
      <c r="S132" s="459"/>
    </row>
    <row r="133">
      <c r="A133" s="238"/>
      <c r="E133" s="238"/>
      <c r="I133" s="455" t="s">
        <v>330</v>
      </c>
      <c r="M133" s="238"/>
      <c r="N133" s="462"/>
      <c r="O133" s="458"/>
      <c r="P133" s="459"/>
      <c r="Q133" s="459"/>
      <c r="R133" s="462"/>
      <c r="S133" s="459"/>
    </row>
    <row r="134">
      <c r="A134" s="238"/>
      <c r="E134" s="238"/>
      <c r="I134" s="455" t="s">
        <v>330</v>
      </c>
      <c r="M134" s="238"/>
      <c r="N134" s="462"/>
      <c r="O134" s="458"/>
      <c r="P134" s="459"/>
      <c r="Q134" s="459"/>
      <c r="R134" s="462"/>
      <c r="S134" s="459"/>
    </row>
    <row r="135">
      <c r="A135" s="238"/>
      <c r="E135" s="238"/>
      <c r="I135" s="455" t="s">
        <v>330</v>
      </c>
      <c r="M135" s="238"/>
      <c r="N135" s="462"/>
      <c r="O135" s="458"/>
      <c r="P135" s="459"/>
      <c r="Q135" s="459"/>
      <c r="R135" s="462"/>
      <c r="S135" s="459"/>
    </row>
    <row r="136">
      <c r="A136" s="238"/>
      <c r="E136" s="238"/>
      <c r="I136" s="455" t="s">
        <v>330</v>
      </c>
      <c r="M136" s="238"/>
      <c r="N136" s="462"/>
      <c r="O136" s="458"/>
      <c r="P136" s="459"/>
      <c r="Q136" s="459"/>
      <c r="R136" s="462"/>
      <c r="S136" s="459"/>
    </row>
    <row r="137">
      <c r="A137" s="238"/>
      <c r="E137" s="238"/>
      <c r="I137" s="455" t="s">
        <v>330</v>
      </c>
      <c r="M137" s="238"/>
      <c r="N137" s="462"/>
      <c r="O137" s="458"/>
      <c r="P137" s="459"/>
      <c r="Q137" s="459"/>
      <c r="R137" s="462"/>
      <c r="S137" s="459"/>
    </row>
    <row r="138">
      <c r="A138" s="238"/>
      <c r="E138" s="238"/>
      <c r="I138" s="455" t="s">
        <v>330</v>
      </c>
      <c r="M138" s="238"/>
      <c r="N138" s="462"/>
      <c r="O138" s="458"/>
      <c r="P138" s="459"/>
      <c r="Q138" s="459"/>
      <c r="R138" s="462"/>
      <c r="S138" s="459"/>
    </row>
    <row r="139">
      <c r="A139" s="238"/>
      <c r="E139" s="238"/>
      <c r="I139" s="455" t="s">
        <v>330</v>
      </c>
      <c r="M139" s="238"/>
      <c r="N139" s="462"/>
      <c r="O139" s="458"/>
      <c r="P139" s="459"/>
      <c r="Q139" s="459"/>
      <c r="R139" s="462"/>
      <c r="S139" s="459"/>
    </row>
    <row r="140">
      <c r="A140" s="238"/>
      <c r="E140" s="238"/>
      <c r="I140" s="455" t="s">
        <v>330</v>
      </c>
      <c r="M140" s="238"/>
      <c r="N140" s="462"/>
      <c r="O140" s="458"/>
      <c r="P140" s="459"/>
      <c r="Q140" s="459"/>
      <c r="R140" s="462"/>
      <c r="S140" s="459"/>
    </row>
    <row r="141">
      <c r="A141" s="238"/>
      <c r="E141" s="238"/>
      <c r="I141" s="455" t="s">
        <v>330</v>
      </c>
      <c r="M141" s="238"/>
      <c r="N141" s="462"/>
      <c r="O141" s="458"/>
      <c r="P141" s="459"/>
      <c r="Q141" s="459"/>
      <c r="R141" s="462"/>
      <c r="S141" s="459"/>
    </row>
    <row r="142">
      <c r="A142" s="238"/>
      <c r="E142" s="238"/>
      <c r="I142" s="455" t="s">
        <v>330</v>
      </c>
      <c r="M142" s="238"/>
      <c r="N142" s="462"/>
      <c r="O142" s="458"/>
      <c r="P142" s="459"/>
      <c r="Q142" s="459"/>
      <c r="R142" s="462"/>
      <c r="S142" s="459"/>
    </row>
    <row r="143">
      <c r="A143" s="238"/>
      <c r="E143" s="238"/>
      <c r="I143" s="455" t="s">
        <v>330</v>
      </c>
      <c r="M143" s="238"/>
      <c r="N143" s="462"/>
      <c r="O143" s="458"/>
      <c r="P143" s="459"/>
      <c r="Q143" s="459"/>
      <c r="R143" s="462"/>
      <c r="S143" s="459"/>
    </row>
    <row r="144">
      <c r="A144" s="238"/>
      <c r="E144" s="238"/>
      <c r="I144" s="455" t="s">
        <v>330</v>
      </c>
      <c r="M144" s="238"/>
      <c r="N144" s="462"/>
      <c r="O144" s="458"/>
      <c r="P144" s="459"/>
      <c r="Q144" s="459"/>
      <c r="R144" s="462"/>
      <c r="S144" s="459"/>
    </row>
    <row r="145">
      <c r="A145" s="238"/>
      <c r="E145" s="238"/>
      <c r="I145" s="455" t="s">
        <v>330</v>
      </c>
      <c r="M145" s="238"/>
      <c r="N145" s="462"/>
      <c r="O145" s="458"/>
      <c r="P145" s="459"/>
      <c r="Q145" s="459"/>
      <c r="R145" s="462"/>
      <c r="S145" s="459"/>
    </row>
    <row r="146">
      <c r="A146" s="238"/>
      <c r="E146" s="238"/>
      <c r="I146" s="455" t="s">
        <v>330</v>
      </c>
      <c r="M146" s="238"/>
      <c r="N146" s="462"/>
      <c r="O146" s="458"/>
      <c r="P146" s="459"/>
      <c r="Q146" s="459"/>
      <c r="R146" s="462"/>
      <c r="S146" s="459"/>
    </row>
    <row r="147">
      <c r="A147" s="238"/>
      <c r="E147" s="238"/>
      <c r="I147" s="455" t="s">
        <v>330</v>
      </c>
      <c r="M147" s="238"/>
      <c r="N147" s="462"/>
      <c r="O147" s="458"/>
      <c r="P147" s="459"/>
      <c r="Q147" s="459"/>
      <c r="R147" s="462"/>
      <c r="S147" s="459"/>
    </row>
    <row r="148">
      <c r="A148" s="238"/>
      <c r="E148" s="238"/>
      <c r="I148" s="455" t="s">
        <v>330</v>
      </c>
      <c r="M148" s="238"/>
      <c r="N148" s="462"/>
      <c r="O148" s="458"/>
      <c r="P148" s="459"/>
      <c r="Q148" s="459"/>
      <c r="R148" s="462"/>
      <c r="S148" s="459"/>
    </row>
    <row r="149">
      <c r="A149" s="238"/>
      <c r="E149" s="238"/>
      <c r="I149" s="455" t="s">
        <v>330</v>
      </c>
      <c r="M149" s="238"/>
      <c r="N149" s="462"/>
      <c r="O149" s="458"/>
      <c r="P149" s="459"/>
      <c r="Q149" s="459"/>
      <c r="R149" s="462"/>
      <c r="S149" s="459"/>
    </row>
    <row r="150">
      <c r="A150" s="238"/>
      <c r="E150" s="238"/>
      <c r="I150" s="455" t="s">
        <v>330</v>
      </c>
      <c r="M150" s="238"/>
      <c r="N150" s="462"/>
      <c r="O150" s="458"/>
      <c r="P150" s="459"/>
      <c r="Q150" s="459"/>
      <c r="R150" s="462"/>
      <c r="S150" s="459"/>
    </row>
    <row r="151">
      <c r="A151" s="238"/>
      <c r="E151" s="238"/>
      <c r="I151" s="455" t="s">
        <v>330</v>
      </c>
      <c r="M151" s="238"/>
      <c r="N151" s="462"/>
      <c r="O151" s="458"/>
      <c r="P151" s="459"/>
      <c r="Q151" s="459"/>
      <c r="R151" s="462"/>
      <c r="S151" s="459"/>
    </row>
    <row r="152">
      <c r="A152" s="238"/>
      <c r="E152" s="238"/>
      <c r="I152" s="455" t="s">
        <v>330</v>
      </c>
      <c r="M152" s="238"/>
      <c r="N152" s="462"/>
      <c r="O152" s="458"/>
      <c r="P152" s="459"/>
      <c r="Q152" s="459"/>
      <c r="R152" s="462"/>
      <c r="S152" s="459"/>
    </row>
    <row r="153">
      <c r="A153" s="238"/>
      <c r="E153" s="238"/>
      <c r="I153" s="455" t="s">
        <v>330</v>
      </c>
      <c r="M153" s="238"/>
      <c r="N153" s="462"/>
      <c r="O153" s="458"/>
      <c r="P153" s="459"/>
      <c r="Q153" s="459"/>
      <c r="R153" s="462"/>
      <c r="S153" s="459"/>
    </row>
    <row r="154">
      <c r="A154" s="238"/>
      <c r="E154" s="238"/>
      <c r="I154" s="455" t="s">
        <v>330</v>
      </c>
      <c r="M154" s="238"/>
      <c r="N154" s="462"/>
      <c r="O154" s="458"/>
      <c r="P154" s="459"/>
      <c r="Q154" s="459"/>
      <c r="R154" s="462"/>
      <c r="S154" s="459"/>
    </row>
    <row r="155">
      <c r="A155" s="238"/>
      <c r="E155" s="238"/>
      <c r="I155" s="455" t="s">
        <v>330</v>
      </c>
      <c r="M155" s="238"/>
      <c r="N155" s="462"/>
      <c r="O155" s="458"/>
      <c r="P155" s="459"/>
      <c r="Q155" s="459"/>
      <c r="R155" s="462"/>
      <c r="S155" s="459"/>
    </row>
    <row r="156">
      <c r="A156" s="238"/>
      <c r="E156" s="238"/>
      <c r="I156" s="455" t="s">
        <v>330</v>
      </c>
      <c r="M156" s="238"/>
      <c r="N156" s="462"/>
      <c r="O156" s="458"/>
      <c r="P156" s="459"/>
      <c r="Q156" s="459"/>
      <c r="R156" s="462"/>
      <c r="S156" s="459"/>
    </row>
    <row r="157">
      <c r="A157" s="238"/>
      <c r="E157" s="238"/>
      <c r="I157" s="455" t="s">
        <v>330</v>
      </c>
      <c r="M157" s="238"/>
      <c r="N157" s="462"/>
      <c r="O157" s="458"/>
      <c r="P157" s="459"/>
      <c r="Q157" s="459"/>
      <c r="R157" s="462"/>
      <c r="S157" s="459"/>
    </row>
    <row r="158">
      <c r="A158" s="238"/>
      <c r="E158" s="238"/>
      <c r="I158" s="455" t="s">
        <v>330</v>
      </c>
      <c r="M158" s="238"/>
      <c r="N158" s="462"/>
      <c r="O158" s="458"/>
      <c r="P158" s="459"/>
      <c r="Q158" s="459"/>
      <c r="R158" s="462"/>
      <c r="S158" s="459"/>
    </row>
    <row r="159">
      <c r="A159" s="238"/>
      <c r="E159" s="238"/>
      <c r="I159" s="455" t="s">
        <v>330</v>
      </c>
      <c r="M159" s="238"/>
      <c r="N159" s="462"/>
      <c r="O159" s="458"/>
      <c r="P159" s="459"/>
      <c r="Q159" s="459"/>
      <c r="R159" s="462"/>
      <c r="S159" s="459"/>
    </row>
    <row r="160">
      <c r="A160" s="238"/>
      <c r="E160" s="238"/>
      <c r="I160" s="455" t="s">
        <v>330</v>
      </c>
      <c r="M160" s="238"/>
      <c r="N160" s="462"/>
      <c r="O160" s="458"/>
      <c r="P160" s="459"/>
      <c r="Q160" s="459"/>
      <c r="R160" s="462"/>
      <c r="S160" s="459"/>
    </row>
    <row r="161">
      <c r="A161" s="238"/>
      <c r="E161" s="238"/>
      <c r="I161" s="455" t="s">
        <v>330</v>
      </c>
      <c r="M161" s="238"/>
      <c r="N161" s="462"/>
      <c r="O161" s="458"/>
      <c r="P161" s="459"/>
      <c r="Q161" s="459"/>
      <c r="R161" s="462"/>
      <c r="S161" s="459"/>
    </row>
    <row r="162">
      <c r="A162" s="238"/>
      <c r="E162" s="238"/>
      <c r="I162" s="455" t="s">
        <v>330</v>
      </c>
      <c r="M162" s="238"/>
      <c r="N162" s="462"/>
      <c r="O162" s="458"/>
      <c r="P162" s="459"/>
      <c r="Q162" s="459"/>
      <c r="R162" s="462"/>
      <c r="S162" s="459"/>
    </row>
    <row r="163">
      <c r="A163" s="238"/>
      <c r="E163" s="238"/>
      <c r="I163" s="455" t="s">
        <v>330</v>
      </c>
      <c r="M163" s="238"/>
      <c r="N163" s="462"/>
      <c r="O163" s="458"/>
      <c r="P163" s="459"/>
      <c r="Q163" s="459"/>
      <c r="R163" s="462"/>
      <c r="S163" s="459"/>
    </row>
    <row r="164">
      <c r="A164" s="238"/>
      <c r="E164" s="238"/>
      <c r="I164" s="455" t="s">
        <v>330</v>
      </c>
      <c r="M164" s="238"/>
      <c r="N164" s="462"/>
      <c r="O164" s="458"/>
      <c r="P164" s="459"/>
      <c r="Q164" s="459"/>
      <c r="R164" s="462"/>
      <c r="S164" s="459"/>
    </row>
    <row r="165">
      <c r="A165" s="238"/>
      <c r="E165" s="238"/>
      <c r="I165" s="455" t="s">
        <v>330</v>
      </c>
      <c r="M165" s="238"/>
      <c r="N165" s="462"/>
      <c r="O165" s="458"/>
      <c r="P165" s="459"/>
      <c r="Q165" s="459"/>
      <c r="R165" s="462"/>
      <c r="S165" s="459"/>
    </row>
    <row r="166">
      <c r="A166" s="238"/>
      <c r="E166" s="238"/>
      <c r="I166" s="455" t="s">
        <v>330</v>
      </c>
      <c r="M166" s="238"/>
      <c r="N166" s="462"/>
      <c r="O166" s="458"/>
      <c r="P166" s="459"/>
      <c r="Q166" s="459"/>
      <c r="R166" s="462"/>
      <c r="S166" s="459"/>
    </row>
    <row r="167">
      <c r="A167" s="238"/>
      <c r="E167" s="238"/>
      <c r="I167" s="455" t="s">
        <v>330</v>
      </c>
      <c r="M167" s="238"/>
      <c r="N167" s="462"/>
      <c r="O167" s="458"/>
      <c r="P167" s="459"/>
      <c r="Q167" s="459"/>
      <c r="R167" s="462"/>
      <c r="S167" s="459"/>
    </row>
    <row r="168">
      <c r="A168" s="238"/>
      <c r="E168" s="238"/>
      <c r="I168" s="455" t="s">
        <v>330</v>
      </c>
      <c r="M168" s="238"/>
      <c r="N168" s="462"/>
      <c r="O168" s="458"/>
      <c r="P168" s="459"/>
      <c r="Q168" s="459"/>
      <c r="R168" s="462"/>
      <c r="S168" s="459"/>
    </row>
    <row r="169">
      <c r="A169" s="238"/>
      <c r="E169" s="238"/>
      <c r="I169" s="455" t="s">
        <v>330</v>
      </c>
      <c r="M169" s="238"/>
      <c r="N169" s="462"/>
      <c r="O169" s="458"/>
      <c r="P169" s="459"/>
      <c r="Q169" s="459"/>
      <c r="R169" s="462"/>
      <c r="S169" s="459"/>
    </row>
    <row r="170">
      <c r="A170" s="238"/>
      <c r="E170" s="238"/>
      <c r="I170" s="455" t="s">
        <v>330</v>
      </c>
      <c r="M170" s="238"/>
      <c r="N170" s="462"/>
      <c r="O170" s="458"/>
      <c r="P170" s="459"/>
      <c r="Q170" s="459"/>
      <c r="R170" s="462"/>
      <c r="S170" s="459"/>
    </row>
    <row r="171">
      <c r="A171" s="238"/>
      <c r="E171" s="238"/>
      <c r="I171" s="455" t="s">
        <v>330</v>
      </c>
      <c r="M171" s="238"/>
      <c r="N171" s="462"/>
      <c r="O171" s="458"/>
      <c r="P171" s="459"/>
      <c r="Q171" s="459"/>
      <c r="R171" s="462"/>
      <c r="S171" s="459"/>
    </row>
    <row r="172">
      <c r="A172" s="238"/>
      <c r="E172" s="238"/>
      <c r="I172" s="455" t="s">
        <v>330</v>
      </c>
      <c r="M172" s="238"/>
      <c r="N172" s="462"/>
      <c r="O172" s="458"/>
      <c r="P172" s="459"/>
      <c r="Q172" s="459"/>
      <c r="R172" s="462"/>
      <c r="S172" s="459"/>
    </row>
    <row r="173">
      <c r="A173" s="238"/>
      <c r="E173" s="238"/>
      <c r="I173" s="455" t="s">
        <v>330</v>
      </c>
      <c r="M173" s="238"/>
      <c r="N173" s="462"/>
      <c r="O173" s="458"/>
      <c r="P173" s="459"/>
      <c r="Q173" s="459"/>
      <c r="R173" s="462"/>
      <c r="S173" s="459"/>
    </row>
    <row r="174">
      <c r="A174" s="238"/>
      <c r="E174" s="238"/>
      <c r="I174" s="455" t="s">
        <v>330</v>
      </c>
      <c r="M174" s="238"/>
      <c r="N174" s="462"/>
      <c r="O174" s="458"/>
      <c r="P174" s="459"/>
      <c r="Q174" s="459"/>
      <c r="R174" s="462"/>
      <c r="S174" s="459"/>
    </row>
    <row r="175">
      <c r="A175" s="238"/>
      <c r="E175" s="238"/>
      <c r="I175" s="455" t="s">
        <v>330</v>
      </c>
      <c r="M175" s="238"/>
      <c r="N175" s="462"/>
      <c r="O175" s="458"/>
      <c r="P175" s="459"/>
      <c r="Q175" s="459"/>
      <c r="R175" s="462"/>
      <c r="S175" s="459"/>
    </row>
    <row r="176">
      <c r="A176" s="238"/>
      <c r="E176" s="238"/>
      <c r="I176" s="455" t="s">
        <v>330</v>
      </c>
      <c r="M176" s="238"/>
      <c r="N176" s="462"/>
      <c r="O176" s="458"/>
      <c r="P176" s="459"/>
      <c r="Q176" s="459"/>
      <c r="R176" s="462"/>
      <c r="S176" s="459"/>
    </row>
    <row r="177">
      <c r="A177" s="238"/>
      <c r="E177" s="238"/>
      <c r="I177" s="455" t="s">
        <v>330</v>
      </c>
      <c r="M177" s="238"/>
      <c r="N177" s="462"/>
      <c r="O177" s="458"/>
      <c r="P177" s="459"/>
      <c r="Q177" s="459"/>
      <c r="R177" s="462"/>
      <c r="S177" s="459"/>
    </row>
    <row r="178">
      <c r="A178" s="238"/>
      <c r="E178" s="238"/>
      <c r="I178" s="455" t="s">
        <v>330</v>
      </c>
      <c r="M178" s="238"/>
      <c r="N178" s="462"/>
      <c r="O178" s="458"/>
      <c r="P178" s="459"/>
      <c r="Q178" s="459"/>
      <c r="R178" s="462"/>
      <c r="S178" s="459"/>
    </row>
    <row r="179">
      <c r="A179" s="238"/>
      <c r="E179" s="238"/>
      <c r="I179" s="455" t="s">
        <v>330</v>
      </c>
      <c r="M179" s="238"/>
      <c r="N179" s="462"/>
      <c r="O179" s="458"/>
      <c r="P179" s="459"/>
      <c r="Q179" s="459"/>
      <c r="R179" s="462"/>
      <c r="S179" s="459"/>
    </row>
    <row r="180">
      <c r="A180" s="238"/>
      <c r="E180" s="238"/>
      <c r="I180" s="455" t="s">
        <v>330</v>
      </c>
      <c r="M180" s="238"/>
      <c r="N180" s="462"/>
      <c r="O180" s="458"/>
      <c r="P180" s="459"/>
      <c r="Q180" s="459"/>
      <c r="R180" s="462"/>
      <c r="S180" s="459"/>
    </row>
    <row r="181">
      <c r="A181" s="238"/>
      <c r="E181" s="238"/>
      <c r="I181" s="455" t="s">
        <v>330</v>
      </c>
      <c r="M181" s="238"/>
      <c r="N181" s="462"/>
      <c r="O181" s="458"/>
      <c r="P181" s="459"/>
      <c r="Q181" s="459"/>
      <c r="R181" s="462"/>
      <c r="S181" s="459"/>
    </row>
    <row r="182">
      <c r="A182" s="238"/>
      <c r="E182" s="238"/>
      <c r="I182" s="455" t="s">
        <v>330</v>
      </c>
      <c r="M182" s="238"/>
      <c r="N182" s="462"/>
      <c r="O182" s="458"/>
      <c r="P182" s="459"/>
      <c r="Q182" s="459"/>
      <c r="R182" s="462"/>
      <c r="S182" s="459"/>
    </row>
    <row r="183">
      <c r="A183" s="238"/>
      <c r="E183" s="238"/>
      <c r="I183" s="455" t="s">
        <v>330</v>
      </c>
      <c r="M183" s="238"/>
      <c r="N183" s="462"/>
      <c r="O183" s="458"/>
      <c r="P183" s="459"/>
      <c r="Q183" s="459"/>
      <c r="R183" s="462"/>
      <c r="S183" s="459"/>
    </row>
    <row r="184">
      <c r="A184" s="238"/>
      <c r="E184" s="238"/>
      <c r="I184" s="455" t="s">
        <v>330</v>
      </c>
      <c r="M184" s="238"/>
      <c r="N184" s="462"/>
      <c r="O184" s="458"/>
      <c r="P184" s="459"/>
      <c r="Q184" s="459"/>
      <c r="R184" s="462"/>
      <c r="S184" s="459"/>
    </row>
    <row r="185">
      <c r="A185" s="238"/>
      <c r="E185" s="238"/>
      <c r="I185" s="455" t="s">
        <v>330</v>
      </c>
      <c r="M185" s="238"/>
      <c r="N185" s="462"/>
      <c r="O185" s="458"/>
      <c r="P185" s="459"/>
      <c r="Q185" s="459"/>
      <c r="R185" s="462"/>
      <c r="S185" s="459"/>
    </row>
    <row r="186">
      <c r="A186" s="238"/>
      <c r="E186" s="238"/>
      <c r="I186" s="455" t="s">
        <v>330</v>
      </c>
      <c r="M186" s="238"/>
      <c r="N186" s="462"/>
      <c r="O186" s="458"/>
      <c r="P186" s="459"/>
      <c r="Q186" s="459"/>
      <c r="R186" s="462"/>
      <c r="S186" s="459"/>
    </row>
    <row r="187">
      <c r="A187" s="238"/>
      <c r="E187" s="238"/>
      <c r="I187" s="455" t="s">
        <v>330</v>
      </c>
      <c r="M187" s="238"/>
      <c r="N187" s="462"/>
      <c r="O187" s="458"/>
      <c r="P187" s="459"/>
      <c r="Q187" s="459"/>
      <c r="R187" s="462"/>
      <c r="S187" s="459"/>
    </row>
    <row r="188">
      <c r="A188" s="238"/>
      <c r="E188" s="238"/>
      <c r="I188" s="455" t="s">
        <v>330</v>
      </c>
      <c r="M188" s="238"/>
      <c r="N188" s="462"/>
      <c r="O188" s="458"/>
      <c r="P188" s="459"/>
      <c r="Q188" s="459"/>
      <c r="R188" s="462"/>
      <c r="S188" s="459"/>
    </row>
    <row r="189">
      <c r="A189" s="238"/>
      <c r="E189" s="238"/>
      <c r="I189" s="455" t="s">
        <v>330</v>
      </c>
      <c r="M189" s="238"/>
      <c r="N189" s="462"/>
      <c r="O189" s="458"/>
      <c r="P189" s="459"/>
      <c r="Q189" s="459"/>
      <c r="R189" s="462"/>
      <c r="S189" s="459"/>
    </row>
    <row r="190">
      <c r="A190" s="238"/>
      <c r="E190" s="238"/>
      <c r="I190" s="455" t="s">
        <v>330</v>
      </c>
      <c r="M190" s="238"/>
      <c r="N190" s="462"/>
      <c r="O190" s="458"/>
      <c r="P190" s="459"/>
      <c r="Q190" s="459"/>
      <c r="R190" s="462"/>
      <c r="S190" s="459"/>
    </row>
    <row r="191">
      <c r="A191" s="238"/>
      <c r="E191" s="238"/>
      <c r="I191" s="455" t="s">
        <v>330</v>
      </c>
      <c r="M191" s="238"/>
      <c r="N191" s="462"/>
      <c r="O191" s="458"/>
      <c r="P191" s="459"/>
      <c r="Q191" s="459"/>
      <c r="R191" s="462"/>
      <c r="S191" s="459"/>
    </row>
    <row r="192">
      <c r="A192" s="238"/>
      <c r="E192" s="238"/>
      <c r="I192" s="455" t="s">
        <v>330</v>
      </c>
      <c r="M192" s="238"/>
      <c r="N192" s="462"/>
      <c r="O192" s="458"/>
      <c r="P192" s="459"/>
      <c r="Q192" s="459"/>
      <c r="R192" s="462"/>
      <c r="S192" s="459"/>
    </row>
    <row r="193">
      <c r="A193" s="238"/>
      <c r="E193" s="238"/>
      <c r="I193" s="455" t="s">
        <v>330</v>
      </c>
      <c r="M193" s="238"/>
      <c r="N193" s="462"/>
      <c r="O193" s="458"/>
      <c r="P193" s="459"/>
      <c r="Q193" s="459"/>
      <c r="R193" s="462"/>
      <c r="S193" s="459"/>
    </row>
    <row r="194">
      <c r="A194" s="238"/>
      <c r="E194" s="238"/>
      <c r="I194" s="455" t="s">
        <v>330</v>
      </c>
      <c r="M194" s="238"/>
      <c r="N194" s="462"/>
      <c r="O194" s="458"/>
      <c r="P194" s="459"/>
      <c r="Q194" s="459"/>
      <c r="R194" s="462"/>
      <c r="S194" s="459"/>
    </row>
    <row r="195">
      <c r="A195" s="238"/>
      <c r="E195" s="238"/>
      <c r="I195" s="455" t="s">
        <v>330</v>
      </c>
      <c r="M195" s="238"/>
      <c r="N195" s="462"/>
      <c r="O195" s="458"/>
      <c r="P195" s="459"/>
      <c r="Q195" s="459"/>
      <c r="R195" s="462"/>
      <c r="S195" s="459"/>
    </row>
    <row r="196">
      <c r="A196" s="238"/>
      <c r="E196" s="238"/>
      <c r="I196" s="455" t="s">
        <v>330</v>
      </c>
      <c r="M196" s="238"/>
      <c r="N196" s="462"/>
      <c r="O196" s="458"/>
      <c r="P196" s="459"/>
      <c r="Q196" s="459"/>
      <c r="R196" s="462"/>
      <c r="S196" s="459"/>
    </row>
    <row r="197">
      <c r="A197" s="238"/>
      <c r="E197" s="238"/>
      <c r="I197" s="455" t="s">
        <v>330</v>
      </c>
      <c r="M197" s="238"/>
      <c r="N197" s="462"/>
      <c r="O197" s="458"/>
      <c r="P197" s="459"/>
      <c r="Q197" s="459"/>
      <c r="R197" s="462"/>
      <c r="S197" s="459"/>
    </row>
    <row r="198">
      <c r="A198" s="238"/>
      <c r="E198" s="238"/>
      <c r="I198" s="455" t="s">
        <v>330</v>
      </c>
      <c r="M198" s="238"/>
      <c r="N198" s="462"/>
      <c r="O198" s="458"/>
      <c r="P198" s="459"/>
      <c r="Q198" s="459"/>
      <c r="R198" s="462"/>
      <c r="S198" s="459"/>
    </row>
    <row r="199">
      <c r="A199" s="238"/>
      <c r="E199" s="238"/>
      <c r="I199" s="455" t="s">
        <v>330</v>
      </c>
      <c r="M199" s="238"/>
      <c r="N199" s="462"/>
      <c r="O199" s="458"/>
      <c r="P199" s="459"/>
      <c r="Q199" s="459"/>
      <c r="R199" s="462"/>
      <c r="S199" s="459"/>
    </row>
    <row r="200">
      <c r="A200" s="238"/>
      <c r="E200" s="238"/>
      <c r="I200" s="455" t="s">
        <v>330</v>
      </c>
      <c r="M200" s="238"/>
      <c r="N200" s="462"/>
      <c r="O200" s="458"/>
      <c r="P200" s="459"/>
      <c r="Q200" s="459"/>
      <c r="R200" s="462"/>
      <c r="S200" s="459"/>
    </row>
    <row r="201">
      <c r="A201" s="238"/>
      <c r="E201" s="238"/>
      <c r="I201" s="455" t="s">
        <v>330</v>
      </c>
      <c r="M201" s="238"/>
      <c r="N201" s="462"/>
      <c r="O201" s="458"/>
      <c r="P201" s="459"/>
      <c r="Q201" s="459"/>
      <c r="R201" s="462"/>
      <c r="S201" s="459"/>
    </row>
    <row r="202">
      <c r="A202" s="238"/>
      <c r="E202" s="238"/>
      <c r="I202" s="455" t="s">
        <v>330</v>
      </c>
      <c r="M202" s="238"/>
      <c r="N202" s="462"/>
      <c r="O202" s="458"/>
      <c r="P202" s="459"/>
      <c r="Q202" s="459"/>
      <c r="R202" s="462"/>
      <c r="S202" s="459"/>
    </row>
    <row r="203">
      <c r="A203" s="238"/>
      <c r="E203" s="238"/>
      <c r="I203" s="455" t="s">
        <v>330</v>
      </c>
      <c r="M203" s="238"/>
      <c r="N203" s="462"/>
      <c r="O203" s="458"/>
      <c r="P203" s="459"/>
      <c r="Q203" s="459"/>
      <c r="R203" s="462"/>
      <c r="S203" s="459"/>
    </row>
    <row r="204">
      <c r="A204" s="238"/>
      <c r="E204" s="238"/>
      <c r="I204" s="455" t="s">
        <v>330</v>
      </c>
      <c r="M204" s="238"/>
      <c r="N204" s="462"/>
      <c r="O204" s="458"/>
      <c r="P204" s="459"/>
      <c r="Q204" s="459"/>
      <c r="R204" s="462"/>
      <c r="S204" s="459"/>
    </row>
    <row r="205">
      <c r="A205" s="238"/>
      <c r="E205" s="238"/>
      <c r="I205" s="455" t="s">
        <v>330</v>
      </c>
      <c r="M205" s="238"/>
      <c r="N205" s="462"/>
      <c r="O205" s="458"/>
      <c r="P205" s="459"/>
      <c r="Q205" s="459"/>
      <c r="R205" s="462"/>
      <c r="S205" s="459"/>
    </row>
    <row r="206">
      <c r="A206" s="238"/>
      <c r="E206" s="238"/>
      <c r="I206" s="455" t="s">
        <v>330</v>
      </c>
      <c r="M206" s="238"/>
      <c r="N206" s="462"/>
      <c r="O206" s="458"/>
      <c r="P206" s="459"/>
      <c r="Q206" s="459"/>
      <c r="R206" s="462"/>
      <c r="S206" s="459"/>
    </row>
    <row r="207">
      <c r="A207" s="238"/>
      <c r="E207" s="238"/>
      <c r="I207" s="455" t="s">
        <v>330</v>
      </c>
      <c r="M207" s="238"/>
      <c r="N207" s="462"/>
      <c r="O207" s="458"/>
      <c r="P207" s="459"/>
      <c r="Q207" s="459"/>
      <c r="R207" s="462"/>
      <c r="S207" s="459"/>
    </row>
    <row r="208">
      <c r="A208" s="238"/>
      <c r="E208" s="238"/>
      <c r="I208" s="455" t="s">
        <v>330</v>
      </c>
      <c r="M208" s="238"/>
      <c r="N208" s="462"/>
      <c r="O208" s="458"/>
      <c r="P208" s="459"/>
      <c r="Q208" s="459"/>
      <c r="R208" s="462"/>
      <c r="S208" s="459"/>
    </row>
    <row r="209">
      <c r="A209" s="238"/>
      <c r="E209" s="238"/>
      <c r="I209" s="455" t="s">
        <v>330</v>
      </c>
      <c r="M209" s="238"/>
      <c r="N209" s="462"/>
      <c r="O209" s="458"/>
      <c r="P209" s="459"/>
      <c r="Q209" s="459"/>
      <c r="R209" s="462"/>
      <c r="S209" s="459"/>
    </row>
    <row r="210">
      <c r="A210" s="238"/>
      <c r="E210" s="238"/>
      <c r="I210" s="455" t="s">
        <v>330</v>
      </c>
      <c r="M210" s="238"/>
      <c r="N210" s="462"/>
      <c r="O210" s="458"/>
      <c r="P210" s="459"/>
      <c r="Q210" s="459"/>
      <c r="R210" s="462"/>
      <c r="S210" s="459"/>
    </row>
    <row r="211">
      <c r="A211" s="238"/>
      <c r="E211" s="238"/>
      <c r="I211" s="455" t="s">
        <v>330</v>
      </c>
      <c r="M211" s="238"/>
      <c r="N211" s="462"/>
      <c r="O211" s="458"/>
      <c r="P211" s="459"/>
      <c r="Q211" s="459"/>
      <c r="R211" s="462"/>
      <c r="S211" s="459"/>
    </row>
    <row r="212">
      <c r="A212" s="238"/>
      <c r="E212" s="238"/>
      <c r="I212" s="455" t="s">
        <v>330</v>
      </c>
      <c r="M212" s="238"/>
      <c r="N212" s="462"/>
      <c r="O212" s="458"/>
      <c r="P212" s="459"/>
      <c r="Q212" s="459"/>
      <c r="R212" s="462"/>
      <c r="S212" s="459"/>
    </row>
    <row r="213">
      <c r="A213" s="238"/>
      <c r="E213" s="238"/>
      <c r="I213" s="455" t="s">
        <v>330</v>
      </c>
      <c r="M213" s="238"/>
      <c r="N213" s="462"/>
      <c r="O213" s="458"/>
      <c r="P213" s="459"/>
      <c r="Q213" s="459"/>
      <c r="R213" s="462"/>
      <c r="S213" s="459"/>
    </row>
    <row r="214">
      <c r="A214" s="238"/>
      <c r="E214" s="238"/>
      <c r="I214" s="455" t="s">
        <v>330</v>
      </c>
      <c r="M214" s="238"/>
      <c r="N214" s="462"/>
      <c r="O214" s="458"/>
      <c r="P214" s="459"/>
      <c r="Q214" s="459"/>
      <c r="R214" s="462"/>
      <c r="S214" s="459"/>
    </row>
    <row r="215">
      <c r="A215" s="238"/>
      <c r="E215" s="238"/>
      <c r="I215" s="455" t="s">
        <v>330</v>
      </c>
      <c r="M215" s="238"/>
      <c r="N215" s="462"/>
      <c r="O215" s="458"/>
      <c r="P215" s="459"/>
      <c r="Q215" s="459"/>
      <c r="R215" s="462"/>
      <c r="S215" s="459"/>
    </row>
    <row r="216">
      <c r="A216" s="238"/>
      <c r="E216" s="238"/>
      <c r="I216" s="455" t="s">
        <v>330</v>
      </c>
      <c r="M216" s="238"/>
      <c r="N216" s="462"/>
      <c r="O216" s="458"/>
      <c r="P216" s="459"/>
      <c r="Q216" s="459"/>
      <c r="R216" s="462"/>
      <c r="S216" s="459"/>
    </row>
    <row r="217">
      <c r="A217" s="238"/>
      <c r="E217" s="238"/>
      <c r="I217" s="455" t="s">
        <v>330</v>
      </c>
      <c r="M217" s="238"/>
      <c r="N217" s="462"/>
      <c r="O217" s="458"/>
      <c r="P217" s="459"/>
      <c r="Q217" s="459"/>
      <c r="R217" s="462"/>
      <c r="S217" s="459"/>
    </row>
    <row r="218">
      <c r="A218" s="238"/>
      <c r="E218" s="238"/>
      <c r="I218" s="455" t="s">
        <v>330</v>
      </c>
      <c r="M218" s="238"/>
      <c r="N218" s="462"/>
      <c r="O218" s="458"/>
      <c r="P218" s="459"/>
      <c r="Q218" s="459"/>
      <c r="R218" s="462"/>
      <c r="S218" s="459"/>
    </row>
    <row r="219">
      <c r="A219" s="238"/>
      <c r="E219" s="238"/>
      <c r="I219" s="455" t="s">
        <v>330</v>
      </c>
      <c r="M219" s="238"/>
      <c r="N219" s="462"/>
      <c r="O219" s="458"/>
      <c r="P219" s="459"/>
      <c r="Q219" s="459"/>
      <c r="R219" s="462"/>
      <c r="S219" s="459"/>
    </row>
    <row r="220">
      <c r="A220" s="238"/>
      <c r="E220" s="238"/>
      <c r="I220" s="455" t="s">
        <v>330</v>
      </c>
      <c r="M220" s="238"/>
      <c r="N220" s="462"/>
      <c r="O220" s="458"/>
      <c r="P220" s="459"/>
      <c r="Q220" s="459"/>
      <c r="R220" s="462"/>
      <c r="S220" s="459"/>
    </row>
    <row r="221">
      <c r="A221" s="238"/>
      <c r="E221" s="238"/>
      <c r="I221" s="455" t="s">
        <v>330</v>
      </c>
      <c r="M221" s="238"/>
      <c r="N221" s="462"/>
      <c r="O221" s="458"/>
      <c r="P221" s="459"/>
      <c r="Q221" s="459"/>
      <c r="R221" s="462"/>
      <c r="S221" s="459"/>
    </row>
    <row r="222">
      <c r="A222" s="238"/>
      <c r="E222" s="238"/>
      <c r="I222" s="455" t="s">
        <v>330</v>
      </c>
      <c r="M222" s="238"/>
      <c r="N222" s="462"/>
      <c r="O222" s="458"/>
      <c r="P222" s="459"/>
      <c r="Q222" s="459"/>
      <c r="R222" s="462"/>
      <c r="S222" s="459"/>
    </row>
    <row r="223">
      <c r="A223" s="238"/>
      <c r="E223" s="238"/>
      <c r="I223" s="455" t="s">
        <v>330</v>
      </c>
      <c r="M223" s="238"/>
      <c r="N223" s="462"/>
      <c r="O223" s="458"/>
      <c r="P223" s="459"/>
      <c r="Q223" s="459"/>
      <c r="R223" s="462"/>
      <c r="S223" s="459"/>
    </row>
    <row r="224">
      <c r="A224" s="238"/>
      <c r="E224" s="238"/>
      <c r="I224" s="455" t="s">
        <v>330</v>
      </c>
      <c r="M224" s="238"/>
      <c r="N224" s="462"/>
      <c r="O224" s="458"/>
      <c r="P224" s="459"/>
      <c r="Q224" s="459"/>
      <c r="R224" s="462"/>
      <c r="S224" s="459"/>
    </row>
    <row r="225">
      <c r="A225" s="238"/>
      <c r="E225" s="238"/>
      <c r="I225" s="455" t="s">
        <v>330</v>
      </c>
      <c r="M225" s="238"/>
      <c r="N225" s="462"/>
      <c r="O225" s="458"/>
      <c r="P225" s="459"/>
      <c r="Q225" s="459"/>
      <c r="R225" s="462"/>
      <c r="S225" s="459"/>
    </row>
    <row r="226">
      <c r="A226" s="238"/>
      <c r="E226" s="238"/>
      <c r="I226" s="455" t="s">
        <v>330</v>
      </c>
      <c r="M226" s="238"/>
      <c r="N226" s="462"/>
      <c r="O226" s="458"/>
      <c r="P226" s="459"/>
      <c r="Q226" s="459"/>
      <c r="R226" s="462"/>
      <c r="S226" s="459"/>
    </row>
    <row r="227">
      <c r="A227" s="238"/>
      <c r="E227" s="238"/>
      <c r="I227" s="455" t="s">
        <v>330</v>
      </c>
      <c r="M227" s="238"/>
      <c r="N227" s="462"/>
      <c r="O227" s="458"/>
      <c r="P227" s="459"/>
      <c r="Q227" s="459"/>
      <c r="R227" s="462"/>
      <c r="S227" s="459"/>
    </row>
    <row r="228">
      <c r="A228" s="238"/>
      <c r="E228" s="238"/>
      <c r="I228" s="455" t="s">
        <v>330</v>
      </c>
      <c r="M228" s="238"/>
      <c r="N228" s="462"/>
      <c r="O228" s="458"/>
      <c r="P228" s="459"/>
      <c r="Q228" s="459"/>
      <c r="R228" s="462"/>
      <c r="S228" s="459"/>
    </row>
    <row r="229">
      <c r="A229" s="238"/>
      <c r="E229" s="238"/>
      <c r="I229" s="455" t="s">
        <v>330</v>
      </c>
      <c r="M229" s="238"/>
      <c r="N229" s="462"/>
      <c r="O229" s="458"/>
      <c r="P229" s="459"/>
      <c r="Q229" s="459"/>
      <c r="R229" s="462"/>
      <c r="S229" s="459"/>
    </row>
    <row r="230">
      <c r="A230" s="238"/>
      <c r="E230" s="238"/>
      <c r="I230" s="455" t="s">
        <v>330</v>
      </c>
      <c r="M230" s="238"/>
      <c r="N230" s="462"/>
      <c r="O230" s="458"/>
      <c r="P230" s="459"/>
      <c r="Q230" s="459"/>
      <c r="R230" s="462"/>
      <c r="S230" s="459"/>
    </row>
    <row r="231">
      <c r="A231" s="238"/>
      <c r="E231" s="238"/>
      <c r="I231" s="455" t="s">
        <v>330</v>
      </c>
      <c r="M231" s="238"/>
      <c r="N231" s="462"/>
      <c r="O231" s="458"/>
      <c r="P231" s="459"/>
      <c r="Q231" s="459"/>
      <c r="R231" s="462"/>
      <c r="S231" s="459"/>
    </row>
    <row r="232">
      <c r="A232" s="238"/>
      <c r="E232" s="238"/>
      <c r="I232" s="455" t="s">
        <v>330</v>
      </c>
      <c r="M232" s="238"/>
      <c r="N232" s="462"/>
      <c r="O232" s="458"/>
      <c r="P232" s="459"/>
      <c r="Q232" s="459"/>
      <c r="R232" s="462"/>
      <c r="S232" s="459"/>
    </row>
    <row r="233">
      <c r="A233" s="238"/>
      <c r="E233" s="238"/>
      <c r="I233" s="455" t="s">
        <v>330</v>
      </c>
      <c r="M233" s="238"/>
      <c r="N233" s="462"/>
      <c r="O233" s="458"/>
      <c r="P233" s="459"/>
      <c r="Q233" s="459"/>
      <c r="R233" s="462"/>
      <c r="S233" s="459"/>
    </row>
    <row r="234">
      <c r="A234" s="238"/>
      <c r="E234" s="238"/>
      <c r="I234" s="455" t="s">
        <v>330</v>
      </c>
      <c r="M234" s="238"/>
      <c r="N234" s="462"/>
      <c r="O234" s="458"/>
      <c r="P234" s="459"/>
      <c r="Q234" s="459"/>
      <c r="R234" s="462"/>
      <c r="S234" s="459"/>
    </row>
    <row r="235">
      <c r="A235" s="238"/>
      <c r="E235" s="238"/>
      <c r="I235" s="455" t="s">
        <v>330</v>
      </c>
      <c r="M235" s="238"/>
      <c r="N235" s="462"/>
      <c r="O235" s="458"/>
      <c r="P235" s="459"/>
      <c r="Q235" s="459"/>
      <c r="R235" s="462"/>
      <c r="S235" s="459"/>
    </row>
    <row r="236">
      <c r="A236" s="238"/>
      <c r="E236" s="238"/>
      <c r="I236" s="455" t="s">
        <v>330</v>
      </c>
      <c r="M236" s="238"/>
      <c r="N236" s="462"/>
      <c r="O236" s="458"/>
      <c r="P236" s="459"/>
      <c r="Q236" s="459"/>
      <c r="R236" s="462"/>
      <c r="S236" s="459"/>
    </row>
    <row r="237">
      <c r="A237" s="238"/>
      <c r="E237" s="238"/>
      <c r="I237" s="455" t="s">
        <v>330</v>
      </c>
      <c r="M237" s="238"/>
      <c r="N237" s="462"/>
      <c r="O237" s="458"/>
      <c r="P237" s="459"/>
      <c r="Q237" s="459"/>
      <c r="R237" s="462"/>
      <c r="S237" s="459"/>
    </row>
    <row r="238">
      <c r="A238" s="238"/>
      <c r="E238" s="238"/>
      <c r="I238" s="455" t="s">
        <v>330</v>
      </c>
      <c r="M238" s="238"/>
      <c r="N238" s="462"/>
      <c r="O238" s="458"/>
      <c r="P238" s="459"/>
      <c r="Q238" s="459"/>
      <c r="R238" s="462"/>
      <c r="S238" s="459"/>
    </row>
    <row r="239">
      <c r="A239" s="238"/>
      <c r="E239" s="238"/>
      <c r="I239" s="455" t="s">
        <v>330</v>
      </c>
      <c r="M239" s="238"/>
      <c r="N239" s="462"/>
      <c r="O239" s="458"/>
      <c r="P239" s="459"/>
      <c r="Q239" s="459"/>
      <c r="R239" s="462"/>
      <c r="S239" s="459"/>
    </row>
    <row r="240">
      <c r="A240" s="238"/>
      <c r="E240" s="238"/>
      <c r="I240" s="455" t="s">
        <v>330</v>
      </c>
      <c r="M240" s="238"/>
      <c r="N240" s="462"/>
      <c r="O240" s="458"/>
      <c r="P240" s="459"/>
      <c r="Q240" s="459"/>
      <c r="R240" s="462"/>
      <c r="S240" s="459"/>
    </row>
    <row r="241">
      <c r="A241" s="238"/>
      <c r="E241" s="238"/>
      <c r="I241" s="455" t="s">
        <v>330</v>
      </c>
      <c r="M241" s="238"/>
      <c r="N241" s="462"/>
      <c r="O241" s="458"/>
      <c r="P241" s="459"/>
      <c r="Q241" s="459"/>
      <c r="R241" s="462"/>
      <c r="S241" s="459"/>
    </row>
    <row r="242">
      <c r="A242" s="238"/>
      <c r="E242" s="238"/>
      <c r="I242" s="455" t="s">
        <v>330</v>
      </c>
      <c r="M242" s="238"/>
      <c r="N242" s="462"/>
      <c r="O242" s="458"/>
      <c r="P242" s="459"/>
      <c r="Q242" s="459"/>
      <c r="R242" s="462"/>
      <c r="S242" s="459"/>
    </row>
    <row r="243">
      <c r="A243" s="238"/>
      <c r="E243" s="238"/>
      <c r="I243" s="455" t="s">
        <v>330</v>
      </c>
      <c r="M243" s="238"/>
      <c r="N243" s="462"/>
      <c r="O243" s="458"/>
      <c r="P243" s="459"/>
      <c r="Q243" s="459"/>
      <c r="R243" s="462"/>
      <c r="S243" s="459"/>
    </row>
    <row r="244">
      <c r="A244" s="238"/>
      <c r="E244" s="238"/>
      <c r="I244" s="455" t="s">
        <v>330</v>
      </c>
      <c r="M244" s="238"/>
      <c r="N244" s="462"/>
      <c r="O244" s="458"/>
      <c r="P244" s="459"/>
      <c r="Q244" s="459"/>
      <c r="R244" s="462"/>
      <c r="S244" s="459"/>
    </row>
    <row r="245">
      <c r="A245" s="238"/>
      <c r="E245" s="238"/>
      <c r="I245" s="455" t="s">
        <v>330</v>
      </c>
      <c r="M245" s="238"/>
      <c r="N245" s="462"/>
      <c r="O245" s="458"/>
      <c r="P245" s="459"/>
      <c r="Q245" s="459"/>
      <c r="R245" s="462"/>
      <c r="S245" s="459"/>
    </row>
    <row r="246">
      <c r="A246" s="238"/>
      <c r="E246" s="238"/>
      <c r="I246" s="455" t="s">
        <v>330</v>
      </c>
      <c r="M246" s="238"/>
      <c r="N246" s="462"/>
      <c r="O246" s="458"/>
      <c r="P246" s="459"/>
      <c r="Q246" s="459"/>
      <c r="R246" s="462"/>
      <c r="S246" s="459"/>
    </row>
    <row r="247">
      <c r="A247" s="238"/>
      <c r="E247" s="238"/>
      <c r="I247" s="455" t="s">
        <v>330</v>
      </c>
      <c r="M247" s="238"/>
      <c r="N247" s="462"/>
      <c r="O247" s="458"/>
      <c r="P247" s="459"/>
      <c r="Q247" s="459"/>
      <c r="R247" s="462"/>
      <c r="S247" s="459"/>
    </row>
    <row r="248">
      <c r="A248" s="238"/>
      <c r="E248" s="238"/>
      <c r="I248" s="455" t="s">
        <v>330</v>
      </c>
      <c r="M248" s="238"/>
      <c r="N248" s="462"/>
      <c r="O248" s="458"/>
      <c r="P248" s="459"/>
      <c r="Q248" s="459"/>
      <c r="R248" s="462"/>
      <c r="S248" s="459"/>
    </row>
    <row r="249">
      <c r="A249" s="238"/>
      <c r="E249" s="238"/>
      <c r="I249" s="455" t="s">
        <v>330</v>
      </c>
      <c r="M249" s="238"/>
      <c r="N249" s="462"/>
      <c r="O249" s="458"/>
      <c r="P249" s="459"/>
      <c r="Q249" s="459"/>
      <c r="R249" s="462"/>
      <c r="S249" s="459"/>
    </row>
    <row r="250">
      <c r="A250" s="238"/>
      <c r="E250" s="238"/>
      <c r="I250" s="455" t="s">
        <v>330</v>
      </c>
      <c r="M250" s="238"/>
      <c r="N250" s="462"/>
      <c r="O250" s="458"/>
      <c r="P250" s="459"/>
      <c r="Q250" s="459"/>
      <c r="R250" s="462"/>
      <c r="S250" s="459"/>
    </row>
    <row r="251">
      <c r="A251" s="238"/>
      <c r="E251" s="238"/>
      <c r="I251" s="455" t="s">
        <v>330</v>
      </c>
      <c r="M251" s="238"/>
      <c r="N251" s="462"/>
      <c r="O251" s="458"/>
      <c r="P251" s="459"/>
      <c r="Q251" s="459"/>
      <c r="R251" s="462"/>
      <c r="S251" s="459"/>
    </row>
    <row r="252">
      <c r="A252" s="238"/>
      <c r="E252" s="238"/>
      <c r="I252" s="455" t="s">
        <v>330</v>
      </c>
      <c r="M252" s="238"/>
      <c r="N252" s="462"/>
      <c r="O252" s="458"/>
      <c r="P252" s="459"/>
      <c r="Q252" s="459"/>
      <c r="R252" s="462"/>
      <c r="S252" s="459"/>
    </row>
    <row r="253">
      <c r="A253" s="238"/>
      <c r="E253" s="238"/>
      <c r="I253" s="455" t="s">
        <v>330</v>
      </c>
      <c r="M253" s="238"/>
      <c r="N253" s="462"/>
      <c r="O253" s="458"/>
      <c r="P253" s="459"/>
      <c r="Q253" s="459"/>
      <c r="R253" s="462"/>
      <c r="S253" s="459"/>
    </row>
    <row r="254">
      <c r="A254" s="238"/>
      <c r="E254" s="238"/>
      <c r="I254" s="455" t="s">
        <v>330</v>
      </c>
      <c r="M254" s="238"/>
      <c r="N254" s="462"/>
      <c r="O254" s="458"/>
      <c r="P254" s="459"/>
      <c r="Q254" s="459"/>
      <c r="R254" s="462"/>
      <c r="S254" s="459"/>
    </row>
    <row r="255">
      <c r="A255" s="238"/>
      <c r="E255" s="238"/>
      <c r="I255" s="455" t="s">
        <v>330</v>
      </c>
      <c r="M255" s="238"/>
      <c r="N255" s="462"/>
      <c r="O255" s="458"/>
      <c r="P255" s="459"/>
      <c r="Q255" s="459"/>
      <c r="R255" s="462"/>
      <c r="S255" s="459"/>
    </row>
    <row r="256">
      <c r="A256" s="238"/>
      <c r="E256" s="238"/>
      <c r="I256" s="455" t="s">
        <v>330</v>
      </c>
      <c r="M256" s="238"/>
      <c r="N256" s="462"/>
      <c r="O256" s="458"/>
      <c r="P256" s="459"/>
      <c r="Q256" s="459"/>
      <c r="R256" s="462"/>
      <c r="S256" s="459"/>
    </row>
    <row r="257">
      <c r="A257" s="238"/>
      <c r="E257" s="238"/>
      <c r="I257" s="455" t="s">
        <v>330</v>
      </c>
      <c r="M257" s="238"/>
      <c r="N257" s="462"/>
      <c r="O257" s="458"/>
      <c r="P257" s="459"/>
      <c r="Q257" s="459"/>
      <c r="R257" s="462"/>
      <c r="S257" s="459"/>
    </row>
    <row r="258">
      <c r="A258" s="238"/>
      <c r="E258" s="238"/>
      <c r="I258" s="455" t="s">
        <v>330</v>
      </c>
      <c r="M258" s="238"/>
      <c r="N258" s="462"/>
      <c r="O258" s="458"/>
      <c r="P258" s="459"/>
      <c r="Q258" s="459"/>
      <c r="R258" s="462"/>
      <c r="S258" s="459"/>
    </row>
    <row r="259">
      <c r="A259" s="238"/>
      <c r="E259" s="238"/>
      <c r="I259" s="455" t="s">
        <v>330</v>
      </c>
      <c r="M259" s="238"/>
      <c r="N259" s="462"/>
      <c r="O259" s="458"/>
      <c r="P259" s="459"/>
      <c r="Q259" s="459"/>
      <c r="R259" s="462"/>
      <c r="S259" s="459"/>
    </row>
    <row r="260">
      <c r="A260" s="238"/>
      <c r="E260" s="238"/>
      <c r="I260" s="455" t="s">
        <v>330</v>
      </c>
      <c r="M260" s="238"/>
      <c r="N260" s="462"/>
      <c r="O260" s="458"/>
      <c r="P260" s="459"/>
      <c r="Q260" s="459"/>
      <c r="R260" s="462"/>
      <c r="S260" s="459"/>
    </row>
    <row r="261">
      <c r="A261" s="238"/>
      <c r="E261" s="238"/>
      <c r="I261" s="455" t="s">
        <v>330</v>
      </c>
      <c r="M261" s="238"/>
      <c r="N261" s="462"/>
      <c r="O261" s="458"/>
      <c r="P261" s="459"/>
      <c r="Q261" s="459"/>
      <c r="R261" s="462"/>
      <c r="S261" s="459"/>
    </row>
    <row r="262">
      <c r="A262" s="238"/>
      <c r="E262" s="238"/>
      <c r="I262" s="455" t="s">
        <v>330</v>
      </c>
      <c r="M262" s="238"/>
      <c r="N262" s="462"/>
      <c r="O262" s="458"/>
      <c r="P262" s="459"/>
      <c r="Q262" s="459"/>
      <c r="R262" s="462"/>
      <c r="S262" s="459"/>
    </row>
    <row r="263">
      <c r="A263" s="238"/>
      <c r="E263" s="238"/>
      <c r="I263" s="455" t="s">
        <v>330</v>
      </c>
      <c r="M263" s="238"/>
      <c r="N263" s="462"/>
      <c r="O263" s="458"/>
      <c r="P263" s="459"/>
      <c r="Q263" s="459"/>
      <c r="R263" s="462"/>
      <c r="S263" s="459"/>
    </row>
    <row r="264">
      <c r="A264" s="238"/>
      <c r="E264" s="238"/>
      <c r="I264" s="455" t="s">
        <v>330</v>
      </c>
      <c r="M264" s="238"/>
      <c r="N264" s="462"/>
      <c r="O264" s="458"/>
      <c r="P264" s="459"/>
      <c r="Q264" s="459"/>
      <c r="R264" s="462"/>
      <c r="S264" s="459"/>
    </row>
    <row r="265">
      <c r="A265" s="238"/>
      <c r="E265" s="238"/>
      <c r="I265" s="455" t="s">
        <v>330</v>
      </c>
      <c r="M265" s="238"/>
      <c r="N265" s="462"/>
      <c r="O265" s="458"/>
      <c r="P265" s="459"/>
      <c r="Q265" s="459"/>
      <c r="R265" s="462"/>
      <c r="S265" s="459"/>
    </row>
    <row r="266">
      <c r="A266" s="238"/>
      <c r="E266" s="238"/>
      <c r="I266" s="455" t="s">
        <v>330</v>
      </c>
      <c r="M266" s="238"/>
      <c r="N266" s="462"/>
      <c r="O266" s="458"/>
      <c r="P266" s="459"/>
      <c r="Q266" s="459"/>
      <c r="R266" s="462"/>
      <c r="S266" s="459"/>
    </row>
    <row r="267">
      <c r="A267" s="238"/>
      <c r="E267" s="238"/>
      <c r="I267" s="455" t="s">
        <v>330</v>
      </c>
      <c r="M267" s="238"/>
      <c r="N267" s="462"/>
      <c r="O267" s="458"/>
      <c r="P267" s="459"/>
      <c r="Q267" s="459"/>
      <c r="R267" s="462"/>
      <c r="S267" s="459"/>
    </row>
    <row r="268">
      <c r="A268" s="238"/>
      <c r="E268" s="238"/>
      <c r="I268" s="455" t="s">
        <v>330</v>
      </c>
      <c r="M268" s="238"/>
      <c r="N268" s="462"/>
      <c r="O268" s="458"/>
      <c r="P268" s="459"/>
      <c r="Q268" s="459"/>
      <c r="R268" s="462"/>
      <c r="S268" s="459"/>
    </row>
    <row r="269">
      <c r="A269" s="238"/>
      <c r="E269" s="238"/>
      <c r="I269" s="455" t="s">
        <v>330</v>
      </c>
      <c r="M269" s="238"/>
      <c r="N269" s="462"/>
      <c r="O269" s="458"/>
      <c r="P269" s="459"/>
      <c r="Q269" s="459"/>
      <c r="R269" s="462"/>
      <c r="S269" s="459"/>
    </row>
    <row r="270">
      <c r="A270" s="238"/>
      <c r="E270" s="238"/>
      <c r="I270" s="455" t="s">
        <v>330</v>
      </c>
      <c r="M270" s="238"/>
      <c r="N270" s="462"/>
      <c r="O270" s="458"/>
      <c r="P270" s="459"/>
      <c r="Q270" s="459"/>
      <c r="R270" s="462"/>
      <c r="S270" s="459"/>
    </row>
    <row r="271">
      <c r="A271" s="238"/>
      <c r="E271" s="238"/>
      <c r="I271" s="455" t="s">
        <v>330</v>
      </c>
      <c r="M271" s="238"/>
      <c r="N271" s="462"/>
      <c r="O271" s="458"/>
      <c r="P271" s="459"/>
      <c r="Q271" s="459"/>
      <c r="R271" s="462"/>
      <c r="S271" s="459"/>
    </row>
    <row r="272">
      <c r="A272" s="238"/>
      <c r="E272" s="238"/>
      <c r="I272" s="455" t="s">
        <v>330</v>
      </c>
      <c r="M272" s="238"/>
      <c r="N272" s="462"/>
      <c r="O272" s="458"/>
      <c r="P272" s="459"/>
      <c r="Q272" s="459"/>
      <c r="R272" s="462"/>
      <c r="S272" s="459"/>
    </row>
    <row r="273">
      <c r="A273" s="238"/>
      <c r="E273" s="238"/>
      <c r="I273" s="455" t="s">
        <v>330</v>
      </c>
      <c r="M273" s="238"/>
      <c r="N273" s="462"/>
      <c r="O273" s="458"/>
      <c r="P273" s="459"/>
      <c r="Q273" s="459"/>
      <c r="R273" s="462"/>
      <c r="S273" s="459"/>
    </row>
    <row r="274">
      <c r="A274" s="238"/>
      <c r="E274" s="238"/>
      <c r="I274" s="455" t="s">
        <v>330</v>
      </c>
      <c r="M274" s="238"/>
      <c r="N274" s="462"/>
      <c r="O274" s="458"/>
      <c r="P274" s="459"/>
      <c r="Q274" s="459"/>
      <c r="R274" s="462"/>
      <c r="S274" s="459"/>
    </row>
    <row r="275">
      <c r="A275" s="238"/>
      <c r="E275" s="238"/>
      <c r="I275" s="455" t="s">
        <v>330</v>
      </c>
      <c r="M275" s="238"/>
      <c r="N275" s="462"/>
      <c r="O275" s="458"/>
      <c r="P275" s="459"/>
      <c r="Q275" s="459"/>
      <c r="R275" s="462"/>
      <c r="S275" s="459"/>
    </row>
    <row r="276">
      <c r="A276" s="238"/>
      <c r="E276" s="238"/>
      <c r="I276" s="455" t="s">
        <v>330</v>
      </c>
      <c r="M276" s="238"/>
      <c r="N276" s="462"/>
      <c r="O276" s="458"/>
      <c r="P276" s="459"/>
      <c r="Q276" s="459"/>
      <c r="R276" s="462"/>
      <c r="S276" s="459"/>
    </row>
    <row r="277">
      <c r="A277" s="238"/>
      <c r="E277" s="238"/>
      <c r="I277" s="455" t="s">
        <v>330</v>
      </c>
      <c r="M277" s="238"/>
      <c r="N277" s="462"/>
      <c r="O277" s="458"/>
      <c r="P277" s="459"/>
      <c r="Q277" s="459"/>
      <c r="R277" s="462"/>
      <c r="S277" s="459"/>
    </row>
    <row r="278">
      <c r="A278" s="238"/>
      <c r="E278" s="238"/>
      <c r="I278" s="455" t="s">
        <v>330</v>
      </c>
      <c r="M278" s="238"/>
      <c r="N278" s="462"/>
      <c r="O278" s="458"/>
      <c r="P278" s="459"/>
      <c r="Q278" s="459"/>
      <c r="R278" s="462"/>
      <c r="S278" s="459"/>
    </row>
    <row r="279">
      <c r="A279" s="238"/>
      <c r="E279" s="238"/>
      <c r="I279" s="455" t="s">
        <v>330</v>
      </c>
      <c r="M279" s="238"/>
      <c r="N279" s="462"/>
      <c r="O279" s="458"/>
      <c r="P279" s="459"/>
      <c r="Q279" s="459"/>
      <c r="R279" s="462"/>
      <c r="S279" s="459"/>
    </row>
    <row r="280">
      <c r="A280" s="238"/>
      <c r="E280" s="238"/>
      <c r="I280" s="455" t="s">
        <v>330</v>
      </c>
      <c r="M280" s="238"/>
      <c r="N280" s="462"/>
      <c r="O280" s="458"/>
      <c r="P280" s="459"/>
      <c r="Q280" s="459"/>
      <c r="R280" s="462"/>
      <c r="S280" s="459"/>
    </row>
    <row r="281">
      <c r="A281" s="238"/>
      <c r="E281" s="238"/>
      <c r="I281" s="455" t="s">
        <v>330</v>
      </c>
      <c r="M281" s="238"/>
      <c r="N281" s="462"/>
      <c r="O281" s="458"/>
      <c r="P281" s="459"/>
      <c r="Q281" s="459"/>
      <c r="R281" s="462"/>
      <c r="S281" s="459"/>
    </row>
    <row r="282">
      <c r="A282" s="238"/>
      <c r="E282" s="238"/>
      <c r="I282" s="455" t="s">
        <v>330</v>
      </c>
      <c r="M282" s="238"/>
      <c r="N282" s="462"/>
      <c r="O282" s="458"/>
      <c r="P282" s="459"/>
      <c r="Q282" s="459"/>
      <c r="R282" s="462"/>
      <c r="S282" s="459"/>
    </row>
    <row r="283">
      <c r="A283" s="238"/>
      <c r="E283" s="238"/>
      <c r="I283" s="455" t="s">
        <v>330</v>
      </c>
      <c r="M283" s="238"/>
      <c r="N283" s="462"/>
      <c r="O283" s="458"/>
      <c r="P283" s="459"/>
      <c r="Q283" s="459"/>
      <c r="R283" s="462"/>
      <c r="S283" s="459"/>
    </row>
    <row r="284">
      <c r="A284" s="238"/>
      <c r="E284" s="238"/>
      <c r="I284" s="455" t="s">
        <v>330</v>
      </c>
      <c r="M284" s="238"/>
      <c r="N284" s="462"/>
      <c r="O284" s="458"/>
      <c r="P284" s="459"/>
      <c r="Q284" s="459"/>
      <c r="R284" s="462"/>
      <c r="S284" s="459"/>
    </row>
    <row r="285">
      <c r="A285" s="238"/>
      <c r="E285" s="238"/>
      <c r="I285" s="455" t="s">
        <v>330</v>
      </c>
      <c r="M285" s="238"/>
      <c r="N285" s="462"/>
      <c r="O285" s="458"/>
      <c r="P285" s="459"/>
      <c r="Q285" s="459"/>
      <c r="R285" s="462"/>
      <c r="S285" s="459"/>
    </row>
    <row r="286">
      <c r="A286" s="238"/>
      <c r="E286" s="238"/>
      <c r="I286" s="455" t="s">
        <v>330</v>
      </c>
      <c r="M286" s="238"/>
      <c r="N286" s="462"/>
      <c r="O286" s="458"/>
      <c r="P286" s="459"/>
      <c r="Q286" s="459"/>
      <c r="R286" s="462"/>
      <c r="S286" s="459"/>
    </row>
    <row r="287">
      <c r="A287" s="238"/>
      <c r="E287" s="238"/>
      <c r="I287" s="455" t="s">
        <v>330</v>
      </c>
      <c r="M287" s="238"/>
      <c r="N287" s="462"/>
      <c r="O287" s="458"/>
      <c r="P287" s="459"/>
      <c r="Q287" s="459"/>
      <c r="R287" s="462"/>
      <c r="S287" s="459"/>
    </row>
    <row r="288">
      <c r="A288" s="238"/>
      <c r="E288" s="238"/>
      <c r="I288" s="455" t="s">
        <v>330</v>
      </c>
      <c r="M288" s="238"/>
      <c r="N288" s="462"/>
      <c r="O288" s="458"/>
      <c r="P288" s="459"/>
      <c r="Q288" s="459"/>
      <c r="R288" s="462"/>
      <c r="S288" s="459"/>
    </row>
    <row r="289">
      <c r="A289" s="238"/>
      <c r="E289" s="238"/>
      <c r="I289" s="455" t="s">
        <v>330</v>
      </c>
      <c r="M289" s="238"/>
      <c r="N289" s="462"/>
      <c r="O289" s="458"/>
      <c r="P289" s="459"/>
      <c r="Q289" s="459"/>
      <c r="R289" s="462"/>
      <c r="S289" s="459"/>
    </row>
    <row r="290">
      <c r="A290" s="238"/>
      <c r="E290" s="238"/>
      <c r="I290" s="455" t="s">
        <v>330</v>
      </c>
      <c r="M290" s="238"/>
      <c r="N290" s="462"/>
      <c r="O290" s="458"/>
      <c r="P290" s="459"/>
      <c r="Q290" s="459"/>
      <c r="R290" s="462"/>
      <c r="S290" s="459"/>
    </row>
    <row r="291">
      <c r="A291" s="238"/>
      <c r="E291" s="238"/>
      <c r="I291" s="455" t="s">
        <v>330</v>
      </c>
      <c r="M291" s="238"/>
      <c r="N291" s="462"/>
      <c r="O291" s="458"/>
      <c r="P291" s="459"/>
      <c r="Q291" s="459"/>
      <c r="R291" s="462"/>
      <c r="S291" s="459"/>
    </row>
    <row r="292">
      <c r="A292" s="238"/>
      <c r="E292" s="238"/>
      <c r="I292" s="455" t="s">
        <v>330</v>
      </c>
      <c r="M292" s="238"/>
      <c r="N292" s="462"/>
      <c r="O292" s="458"/>
      <c r="P292" s="459"/>
      <c r="Q292" s="459"/>
      <c r="R292" s="462"/>
      <c r="S292" s="459"/>
    </row>
    <row r="293">
      <c r="A293" s="238"/>
      <c r="E293" s="238"/>
      <c r="I293" s="455" t="s">
        <v>330</v>
      </c>
      <c r="M293" s="238"/>
      <c r="N293" s="462"/>
      <c r="O293" s="458"/>
      <c r="P293" s="459"/>
      <c r="Q293" s="459"/>
      <c r="R293" s="462"/>
      <c r="S293" s="459"/>
    </row>
    <row r="294">
      <c r="A294" s="238"/>
      <c r="E294" s="238"/>
      <c r="I294" s="455" t="s">
        <v>330</v>
      </c>
      <c r="M294" s="238"/>
      <c r="N294" s="462"/>
      <c r="O294" s="458"/>
      <c r="P294" s="459"/>
      <c r="Q294" s="459"/>
      <c r="R294" s="462"/>
      <c r="S294" s="459"/>
    </row>
    <row r="295">
      <c r="A295" s="238"/>
      <c r="E295" s="238"/>
      <c r="I295" s="455" t="s">
        <v>330</v>
      </c>
      <c r="M295" s="238"/>
      <c r="N295" s="462"/>
      <c r="O295" s="458"/>
      <c r="P295" s="459"/>
      <c r="Q295" s="459"/>
      <c r="R295" s="462"/>
      <c r="S295" s="459"/>
    </row>
    <row r="296">
      <c r="A296" s="238"/>
      <c r="E296" s="238"/>
      <c r="I296" s="455" t="s">
        <v>330</v>
      </c>
      <c r="M296" s="238"/>
      <c r="N296" s="462"/>
      <c r="O296" s="458"/>
      <c r="P296" s="459"/>
      <c r="Q296" s="459"/>
      <c r="R296" s="462"/>
      <c r="S296" s="459"/>
    </row>
    <row r="297">
      <c r="A297" s="238"/>
      <c r="E297" s="238"/>
      <c r="I297" s="455" t="s">
        <v>330</v>
      </c>
      <c r="M297" s="238"/>
      <c r="N297" s="462"/>
      <c r="O297" s="458"/>
      <c r="P297" s="459"/>
      <c r="Q297" s="459"/>
      <c r="R297" s="462"/>
      <c r="S297" s="459"/>
    </row>
    <row r="298">
      <c r="A298" s="238"/>
      <c r="E298" s="238"/>
      <c r="I298" s="455" t="s">
        <v>330</v>
      </c>
      <c r="M298" s="238"/>
      <c r="N298" s="462"/>
      <c r="O298" s="458"/>
      <c r="P298" s="459"/>
      <c r="Q298" s="459"/>
      <c r="R298" s="462"/>
      <c r="S298" s="459"/>
    </row>
    <row r="299">
      <c r="A299" s="238"/>
      <c r="E299" s="238"/>
      <c r="I299" s="455" t="s">
        <v>330</v>
      </c>
      <c r="M299" s="238"/>
      <c r="N299" s="462"/>
      <c r="O299" s="458"/>
      <c r="P299" s="459"/>
      <c r="Q299" s="459"/>
      <c r="R299" s="462"/>
      <c r="S299" s="459"/>
    </row>
    <row r="300">
      <c r="A300" s="238"/>
      <c r="E300" s="238"/>
      <c r="I300" s="455" t="s">
        <v>330</v>
      </c>
      <c r="M300" s="238"/>
      <c r="N300" s="462"/>
      <c r="O300" s="458"/>
      <c r="P300" s="459"/>
      <c r="Q300" s="459"/>
      <c r="R300" s="462"/>
      <c r="S300" s="459"/>
    </row>
  </sheetData>
  <conditionalFormatting sqref="A2:A300">
    <cfRule type="containsBlanks" dxfId="4" priority="1">
      <formula>LEN(TRIM(A2))=0</formula>
    </cfRule>
  </conditionalFormatting>
  <conditionalFormatting sqref="N2:N300">
    <cfRule type="containsBlanks" dxfId="4" priority="2">
      <formula>LEN(TRIM(N2))=0</formula>
    </cfRule>
  </conditionalFormatting>
  <dataValidations>
    <dataValidation type="list" allowBlank="1" sqref="M2:M300">
      <formula1>"ROLLOS,PZA,KG,SET,M,M2,TM,CAJ,M3,YD,PAR,BOLSA"</formula1>
    </dataValidation>
    <dataValidation type="list" allowBlank="1" sqref="E2:E300">
      <formula1>"Accesorios Celulares,Accesorios Tecnológicos,Alimentos,Decoración,Electrónicos,Empaques,Equipos e implementos de computación,Equipos e implementos deportivos,Ferretería,Herrajes,Insumos cosméticos,Insumos de limpieza,Insumos e implementos médicos,Insumos "&amp;"textiles,Juguetes,Maquinaria Pesada,Maquinaria y Repuestos,Materiales de construcción,Mobiliario,Papelería,Regalos y Bazar,Repuestos y autolujos,Vehículos,Vestimenta,Otros"</formula1>
    </dataValidation>
    <dataValidation type="list" allowBlank="1" sqref="Q2:Q300">
      <formula1>"Dólar,Yuán"</formula1>
    </dataValidation>
  </dataValidations>
  <drawing r:id="rId2"/>
  <legacyDrawing r:id="rId3"/>
</worksheet>
</file>